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80"/>
  <sheetViews>
    <sheetView tabSelected="1" workbookViewId="0"/>
  </sheetViews>
  <sheetFormatPr defaultRowHeight="15"/>
  <sheetData>
    <row r="1" spans="1:1">
      <c r="A1">
        <f>HYPERLINK("https://mi.docs.wso2.com/en/4.4.0/index/", "Home")</f>
        <v>0</v>
      </c>
    </row>
    <row r="2" spans="1:1">
      <c r="A2">
        <f>HYPERLINK("https://mi.docs.wso2.com/en/4.4.0/get-started/introduction/", "Introduction")</f>
        <v>0</v>
      </c>
    </row>
    <row r="3" spans="1:1">
      <c r="A3">
        <f>HYPERLINK("https://mi.docs.wso2.com/en/4.4.0/get-started/key-concepts/", "Key Concepts")</f>
        <v>0</v>
      </c>
    </row>
    <row r="4" spans="1:1">
      <c r="A4">
        <f>HYPERLINK("https://mi.docs.wso2.com/en/4.4.0/get-started/quick-start-guide/", "Quick Start Guide")</f>
        <v>0</v>
      </c>
    </row>
    <row r="5" spans="1:1">
      <c r="A5">
        <f>HYPERLINK("https://mi.docs.wso2.com/en/4.4.0/get-started/about-this-release/", "About this Release")</f>
        <v>0</v>
      </c>
    </row>
    <row r="6" spans="1:1">
      <c r="A6">
        <f>HYPERLINK("https://mi.docs.wso2.com/en/4.4.0/learn/learn-overview/", "Overview")</f>
        <v>0</v>
      </c>
    </row>
    <row r="7" spans="1:1">
      <c r="A7">
        <f>HYPERLINK("https://mi.docs.wso2.com/en/4.4.0/learn/integration-tutorials/sending-a-simple-message-to-a-service/", "How to Send a Simple Message to a Service")</f>
        <v>0</v>
      </c>
    </row>
    <row r="8" spans="1:1">
      <c r="A8">
        <f>HYPERLINK("https://mi.docs.wso2.com/en/4.4.0/learn/integration-use-case/message-routing-overview/", "What is Message Routing")</f>
        <v>0</v>
      </c>
    </row>
    <row r="9" spans="1:1">
      <c r="A9">
        <f>HYPERLINK("https://mi.docs.wso2.com/en/4.4.0/learn/integration-tutorials/routing-requests-based-on-message-content/", "How to Route Requests Based on Message Content")</f>
        <v>0</v>
      </c>
    </row>
    <row r="10" spans="1:1">
      <c r="A10">
        <f>HYPERLINK("https://mi.docs.wso2.com/en/4.4.0/learn/examples/routing-examples/routing-based-on-headers/", "How to Route Requests Based on Message Headers")</f>
        <v>0</v>
      </c>
    </row>
    <row r="11" spans="1:1">
      <c r="A11">
        <f>HYPERLINK("https://mi.docs.wso2.com/en/4.4.0/learn/integration-use-case/message-transformation-overview/", "What is Message Transformation")</f>
        <v>0</v>
      </c>
    </row>
    <row r="12" spans="1:1">
      <c r="A12">
        <f>HYPERLINK("https://mi.docs.wso2.com/en/4.4.0/learn/integration-tutorials/transforming-message-content/", "How to Transform Message Content")</f>
        <v>0</v>
      </c>
    </row>
    <row r="13" spans="1:1">
      <c r="A13">
        <f>HYPERLINK("https://mi.docs.wso2.com/en/4.4.0/learn/examples/message-transformation-examples/json-to-soap-conversion/", "How to Transform a JSON Message to SOAP")</f>
        <v>0</v>
      </c>
    </row>
    <row r="14" spans="1:1">
      <c r="A14">
        <f>HYPERLINK("https://mi.docs.wso2.com/en/4.4.0/learn/examples/message-transformation-examples/pox-to-json-conversion/", "How to Transform a POX Message to JSON")</f>
        <v>0</v>
      </c>
    </row>
    <row r="15" spans="1:1">
      <c r="A15">
        <f>HYPERLINK("https://mi.docs.wso2.com/en/4.4.0/learn/integration-use-case/service-orchestration-overview/", "What is Service Orchestration")</f>
        <v>0</v>
      </c>
    </row>
    <row r="16" spans="1:1">
      <c r="A16">
        <f>HYPERLINK("https://mi.docs.wso2.com/en/4.4.0/learn/integration-tutorials/exposing-several-services-as-a-single-service/", "How to Expose Several Services as a Single Service")</f>
        <v>0</v>
      </c>
    </row>
    <row r="17" spans="1:1">
      <c r="A17">
        <f>HYPERLINK("https://mi.docs.wso2.com/en/4.4.0/learn/examples/routing-examples/splitting-aggregating-messages/", "How to Split Messages and Aggregate Responses")</f>
        <v>0</v>
      </c>
    </row>
    <row r="18" spans="1:1">
      <c r="A18">
        <f>HYPERLINK("https://mi.docs.wso2.com/en/4.4.0/learn/integration-use-case/asynchronous-message-overview/", "What is Asynchronous Message Processing")</f>
        <v>0</v>
      </c>
    </row>
    <row r="19" spans="1:1">
      <c r="A19">
        <f>HYPERLINK("https://mi.docs.wso2.com/en/4.4.0/learn/examples/rabbitmq-examples/point-to-point-rabbitmq/", "How to Implement Point to Point Messaging Using RabbitMQ")</f>
        <v>0</v>
      </c>
    </row>
    <row r="20" spans="1:1">
      <c r="A20">
        <f>HYPERLINK("https://mi.docs.wso2.com/en/4.4.0/learn/examples/rabbitmq-examples/pub-sub-rabbitmq/", "How to Publish and Subscribe with RabbitMQ")</f>
        <v>0</v>
      </c>
    </row>
    <row r="21" spans="1:1">
      <c r="A21">
        <f>HYPERLINK("https://mi.docs.wso2.com/en/4.4.0/learn/integration-tutorials/storing-and-forwarding-messages/", "How to Store and Forward Messages for Guaranteed Delivery")</f>
        <v>0</v>
      </c>
    </row>
    <row r="22" spans="1:1">
      <c r="A22">
        <f>HYPERLINK("https://mi.docs.wso2.com/en/4.4.0/learn/examples/rabbitmq-examples/retry-delay-failed-msgs-rabbitmq/", "How to Retry Failed Messages with a Delay")</f>
        <v>0</v>
      </c>
    </row>
    <row r="23" spans="1:1">
      <c r="A23">
        <f>HYPERLINK("https://mi.docs.wso2.com/en/4.4.0/learn/examples/rabbitmq-examples/requeue-msgs-with-errors-rabbitmq/", "How to Requeue a Message Preserving the Order")</f>
        <v>0</v>
      </c>
    </row>
    <row r="24" spans="1:1">
      <c r="A24">
        <f>HYPERLINK("https://mi.docs.wso2.com/en/4.4.0/learn/examples/rabbitmq-examples/move-msgs-to-dlq-rabbitmq/", "How to Publish Unacked Messages to Dead Letter Exchange")</f>
        <v>0</v>
      </c>
    </row>
    <row r="25" spans="1:1">
      <c r="A25">
        <f>HYPERLINK("https://mi.docs.wso2.com/en/4.4.0/learn/examples/rabbitmq-examples/request-response-rabbitmq/", "How to Implement Dual Channel Scenario with RabbitMQ")</f>
        <v>0</v>
      </c>
    </row>
    <row r="26" spans="1:1">
      <c r="A26">
        <f>HYPERLINK("https://mi.docs.wso2.com/en/4.4.0/learn/examples/jms-examples/consuming-jms/", "How to Consume JMS Messages")</f>
        <v>0</v>
      </c>
    </row>
    <row r="27" spans="1:1">
      <c r="A27">
        <f>HYPERLINK("https://mi.docs.wso2.com/en/4.4.0/learn/examples/jms-examples/producing-jms/", "How to Produce JMS Messages")</f>
        <v>0</v>
      </c>
    </row>
    <row r="28" spans="1:1">
      <c r="A28">
        <f>HYPERLINK("https://mi.docs.wso2.com/en/4.4.0/learn/examples/jms-examples/consume-produce-jms/", "How to Consume and Produce JMS Messages")</f>
        <v>0</v>
      </c>
    </row>
    <row r="29" spans="1:1">
      <c r="A29">
        <f>HYPERLINK("https://mi.docs.wso2.com/en/4.4.0/learn/examples/jms-examples/publish-subscribe-with-jms/", "How to Publish and Subscribe with JMS")</f>
        <v>0</v>
      </c>
    </row>
    <row r="30" spans="1:1">
      <c r="A30">
        <f>HYPERLINK("https://mi.docs.wso2.com/en/4.4.0/learn/examples/jms-examples/dual-channel-http-to-jms/", "How to Implement JMS Synchronous Invocations - Dual Channel HTTP-to-JMS")</f>
        <v>0</v>
      </c>
    </row>
    <row r="31" spans="1:1">
      <c r="A31">
        <f>HYPERLINK("https://mi.docs.wso2.com/en/4.4.0/learn/examples/jms-examples/quad-channel-jms-to-jms/", "How to Implement JMS Synchronous Invocations - Quad Channel JMS-to-JMS")</f>
        <v>0</v>
      </c>
    </row>
    <row r="32" spans="1:1">
      <c r="A32">
        <f>HYPERLINK("https://mi.docs.wso2.com/en/4.4.0/learn/examples/jms-examples/guaranteed-delivery-with-failover/", "How to Implement a Guaranteed Delivery with Failover")</f>
        <v>0</v>
      </c>
    </row>
    <row r="33" spans="1:1">
      <c r="A33">
        <f>HYPERLINK("https://mi.docs.wso2.com/en/4.4.0/learn/examples/jms-examples/shared-topic-subscription/", "How to Implement Shared Topic Subscription Scenario with JMS")</f>
        <v>0</v>
      </c>
    </row>
    <row r="34" spans="1:1">
      <c r="A34">
        <f>HYPERLINK("https://mi.docs.wso2.com/en/4.4.0/learn/examples/jms-examples/detecting-repeatedly-redelivered-messages/", "How to Detect Repeatedly Redelivered Messages")</f>
        <v>0</v>
      </c>
    </row>
    <row r="35" spans="1:1">
      <c r="A35">
        <f>HYPERLINK("https://mi.docs.wso2.com/en/4.4.0/learn/examples/jms-examples/specifying-a-delivery-delay-on-messages/", "How to Specify Delivery Delay on Messages")</f>
        <v>0</v>
      </c>
    </row>
    <row r="36" spans="1:1">
      <c r="A36">
        <f>HYPERLINK("https://mi.docs.wso2.com/en/4.4.0/learn/integration-use-case/protocol-switching-overview/", "What is Protocol Switching")</f>
        <v>0</v>
      </c>
    </row>
    <row r="37" spans="1:1">
      <c r="A37">
        <f>HYPERLINK("https://mi.docs.wso2.com/en/4.4.0/learn/examples/protocol-switching/switching-from-jms-to-http/", "How to Switch from JMS to HTTP/S")</f>
        <v>0</v>
      </c>
    </row>
    <row r="38" spans="1:1">
      <c r="A38">
        <f>HYPERLINK("https://mi.docs.wso2.com/en/4.4.0/learn/examples/protocol-switching/switching-from-https-to-jms/", "How to Switch from HTTP/S to JMS")</f>
        <v>0</v>
      </c>
    </row>
    <row r="39" spans="1:1">
      <c r="A39">
        <f>HYPERLINK("https://mi.docs.wso2.com/en/4.4.0/learn/examples/protocol-switching/switching-from-ftp-listener-to-mail-sender/", "How to Switch from FTP Listener to Mail Sender")</f>
        <v>0</v>
      </c>
    </row>
    <row r="40" spans="1:1">
      <c r="A40">
        <f>HYPERLINK("https://mi.docs.wso2.com/en/4.4.0/learn/examples/protocol-switching/switching-from-http-to-fix/", "How to Switch from HTTP to FIX")</f>
        <v>0</v>
      </c>
    </row>
    <row r="41" spans="1:1">
      <c r="A41">
        <f>HYPERLINK("https://mi.docs.wso2.com/en/4.4.0/learn/examples/protocol-switching/switching-from-fix-to-http/", "How to Switch from FIX to HTTP")</f>
        <v>0</v>
      </c>
    </row>
    <row r="42" spans="1:1">
      <c r="A42">
        <f>HYPERLINK("https://mi.docs.wso2.com/en/4.4.0/learn/examples/protocol-switching/switching-from-fix-to-jms/", "How to Switch from FIX to JMS")</f>
        <v>0</v>
      </c>
    </row>
    <row r="43" spans="1:1">
      <c r="A43">
        <f>HYPERLINK("https://mi.docs.wso2.com/en/4.4.0/learn/examples/protocol-switching/switching-between-fix-versions/", "How to Switch between FIX Versions")</f>
        <v>0</v>
      </c>
    </row>
    <row r="44" spans="1:1">
      <c r="A44">
        <f>HYPERLINK("https://mi.docs.wso2.com/en/4.4.0/learn/examples/protocol-switching/switching-from-tcp-to-https/", "How to Switch from TCP to HTTP/S")</f>
        <v>0</v>
      </c>
    </row>
    <row r="45" spans="1:1">
      <c r="A45">
        <f>HYPERLINK("https://mi.docs.wso2.com/en/4.4.0/learn/examples/protocol-switching/switching-from-udp-to-https/", "How to Switch from UDP to HTTP/S")</f>
        <v>0</v>
      </c>
    </row>
    <row r="46" spans="1:1">
      <c r="A46">
        <f>HYPERLINK("https://mi.docs.wso2.com/en/4.4.0/learn/examples/protocol-switching/switching-between-http-and-msmq/", "How to Switch from HTTP to MSMQ")</f>
        <v>0</v>
      </c>
    </row>
    <row r="47" spans="1:1">
      <c r="A47">
        <f>HYPERLINK("https://mi.docs.wso2.com/en/4.4.0/learn/integration-use-case/connectors/", "What is SaaS and B2B Connectivity")</f>
        <v>0</v>
      </c>
    </row>
    <row r="48" spans="1:1">
      <c r="A48">
        <f>HYPERLINK("https://mi.docs.wso2.com/en/4.4.0/learn/integration-tutorials/using-the-gmail-connector/", "How to Send an Email from an Integration Service")</f>
        <v>0</v>
      </c>
    </row>
    <row r="49" spans="1:1">
      <c r="A49">
        <f>HYPERLINK("https://mi.docs.wso2.com/en/4.4.0/learn/integration-use-case/data-integration-overview/", "What is Data Integration")</f>
        <v>0</v>
      </c>
    </row>
    <row r="50" spans="1:1">
      <c r="A50">
        <f>HYPERLINK("https://mi.docs.wso2.com/en/4.4.0/learn/integration-tutorials/sending-a-simple-message-to-a-datasource/", "How to Expose a Datasource as a Service")</f>
        <v>0</v>
      </c>
    </row>
    <row r="51" spans="1:1">
      <c r="A51">
        <f>HYPERLINK("https://mi.docs.wso2.com/en/4.4.0/learn/examples/data-integration/rdbms-data-service/", "How to Expose an RDBMS Datasource")</f>
        <v>0</v>
      </c>
    </row>
    <row r="52" spans="1:1">
      <c r="A52">
        <f>HYPERLINK("https://mi.docs.wso2.com/en/4.4.0/learn/examples/data-integration/csv-data-service/", "CSV Datasource")</f>
        <v>0</v>
      </c>
    </row>
    <row r="53" spans="1:1">
      <c r="A53">
        <f>HYPERLINK("https://mi.docs.wso2.com/en/4.4.0/learn/examples/data-integration/mongo-data-service/", "Mongo Datasource")</f>
        <v>0</v>
      </c>
    </row>
    <row r="54" spans="1:1">
      <c r="A54">
        <f>HYPERLINK("https://mi.docs.wso2.com/en/4.4.0/learn/examples/data-integration/carbon-data-service/", "Carbon Datasource")</f>
        <v>0</v>
      </c>
    </row>
    <row r="55" spans="1:1">
      <c r="A55">
        <f>HYPERLINK("https://mi.docs.wso2.com/en/4.4.0/learn/examples/data-integration/json-with-data-service/", "How to Expose Data in JSON Format")</f>
        <v>0</v>
      </c>
    </row>
    <row r="56" spans="1:1">
      <c r="A56">
        <f>HYPERLINK("https://mi.docs.wso2.com/en/4.4.0/learn/examples/data-integration/odata-service/", "How to Expose Data as an OData Service")</f>
        <v>0</v>
      </c>
    </row>
    <row r="57" spans="1:1">
      <c r="A57">
        <f>HYPERLINK("https://mi.docs.wso2.com/en/4.4.0/learn/examples/data-integration/nested-queries-in-data-service/", "How to Use Nested Data Queries")</f>
        <v>0</v>
      </c>
    </row>
    <row r="58" spans="1:1">
      <c r="A58">
        <f>HYPERLINK("https://mi.docs.wso2.com/en/4.4.0/learn/examples/data-integration/batch-requesting/", "How to Perform Batch Requesting")</f>
        <v>0</v>
      </c>
    </row>
    <row r="59" spans="1:1">
      <c r="A59">
        <f>HYPERLINK("https://mi.docs.wso2.com/en/4.4.0/learn/examples/data-integration/request-box/", "How to Invoke Multiple Operations as a Request Box")</f>
        <v>0</v>
      </c>
    </row>
    <row r="60" spans="1:1">
      <c r="A60">
        <f>HYPERLINK("https://mi.docs.wso2.com/en/4.4.0/learn/examples/data-integration/distributed-trans-data-service/", "How to Use Distributed Transactions in Data Services")</f>
        <v>0</v>
      </c>
    </row>
    <row r="61" spans="1:1">
      <c r="A61">
        <f>HYPERLINK("https://mi.docs.wso2.com/en/4.4.0/learn/examples/data-integration/data-input-validator/", "How to Validate Data Input")</f>
        <v>0</v>
      </c>
    </row>
    <row r="62" spans="1:1">
      <c r="A62">
        <f>HYPERLINK("https://mi.docs.wso2.com/en/4.4.0/learn/examples/data-integration/swagger-data-services/", "How to Use Swagger Documents of RESTful Data Services")</f>
        <v>0</v>
      </c>
    </row>
    <row r="63" spans="1:1">
      <c r="A63">
        <f>HYPERLINK("https://mi.docs.wso2.com/en/4.4.0/learn/integration-use-case/file-processing-overview/", "What is File Processing")</f>
        <v>0</v>
      </c>
    </row>
    <row r="64" spans="1:1">
      <c r="A64">
        <f>HYPERLINK("https://mi.docs.wso2.com/en/4.4.0/learn/integration-tutorials/file-processing/", "How to Process a File")</f>
        <v>0</v>
      </c>
    </row>
    <row r="65" spans="1:1">
      <c r="A65">
        <f>HYPERLINK("https://mi.docs.wso2.com/en/4.4.0/learn/examples/file-processing/accessing-windows-share-using-vfs-transport/", "How to Access a Windows Share using VFS Transport")</f>
        <v>0</v>
      </c>
    </row>
    <row r="66" spans="1:1">
      <c r="A66">
        <f>HYPERLINK("https://mi.docs.wso2.com/en/4.4.0/learn/examples/rest-api-examples/introduction-rest-api/", "How to Use a Simple REST API")</f>
        <v>0</v>
      </c>
    </row>
    <row r="67" spans="1:1">
      <c r="A67">
        <f>HYPERLINK("https://mi.docs.wso2.com/en/4.4.0/learn/examples/rest-api-examples/setting-query-params-outgoing-messages/", "How to Set Query Parameters on Outgoing Messages")</f>
        <v>0</v>
      </c>
    </row>
    <row r="68" spans="1:1">
      <c r="A68">
        <f>HYPERLINK("https://mi.docs.wso2.com/en/4.4.0/learn/examples/rest-api-examples/enabling-rest-to-soap/", "How to Expose a SOAP Endpoint as a RESTful API")</f>
        <v>0</v>
      </c>
    </row>
    <row r="69" spans="1:1">
      <c r="A69">
        <f>HYPERLINK("https://mi.docs.wso2.com/en/4.4.0/learn/examples/rest-api-examples/configuring-non-http-endpoints/", "How to Expose a Non-HTTP Services as a RESTful API")</f>
        <v>0</v>
      </c>
    </row>
    <row r="70" spans="1:1">
      <c r="A70">
        <f>HYPERLINK("https://mi.docs.wso2.com/en/4.4.0/learn/examples/rest-api-examples/handling-non-matching-resources/", "How to Handle Non-matching Resources")</f>
        <v>0</v>
      </c>
    </row>
    <row r="71" spans="1:1">
      <c r="A71">
        <f>HYPERLINK("https://mi.docs.wso2.com/en/4.4.0/learn/examples/rest-api-examples/setting-https-status-codes/", "How to Handle HTTP Status Codes")</f>
        <v>0</v>
      </c>
    </row>
    <row r="72" spans="1:1">
      <c r="A72">
        <f>HYPERLINK("https://mi.docs.wso2.com/en/4.4.0/learn/examples/rest-api-examples/transforming-content-type/", "How to Transform Content Types")</f>
        <v>0</v>
      </c>
    </row>
    <row r="73" spans="1:1">
      <c r="A73">
        <f>HYPERLINK("https://mi.docs.wso2.com/en/4.4.0/learn/examples/rest-api-examples/securing-rest-apis/", "How to Secure a REST API")</f>
        <v>0</v>
      </c>
    </row>
    <row r="74" spans="1:1">
      <c r="A74">
        <f>HYPERLINK("https://mi.docs.wso2.com/en/4.4.0/learn/examples/rest-api-examples/publishing-a-swagger-api/", "How to Publish a Custom Swagger Document")</f>
        <v>0</v>
      </c>
    </row>
    <row r="75" spans="1:1">
      <c r="A75">
        <f>HYPERLINK("https://mi.docs.wso2.com/en/4.4.0/learn/examples/rest-api-examples/special-cases/", "How to Handle Special Cases")</f>
        <v>0</v>
      </c>
    </row>
    <row r="76" spans="1:1">
      <c r="A76">
        <f>HYPERLINK("https://mi.docs.wso2.com/en/4.4.0/learn/examples/proxy-service-examples/introduction-to-proxy-services/", "How to Use a Simple Proxy Service")</f>
        <v>0</v>
      </c>
    </row>
    <row r="77" spans="1:1">
      <c r="A77">
        <f>HYPERLINK("https://mi.docs.wso2.com/en/4.4.0/learn/examples/proxy-service-examples/publishing-a-custom-wsdl/", "How to Publish a Custom WSDL")</f>
        <v>0</v>
      </c>
    </row>
    <row r="78" spans="1:1">
      <c r="A78">
        <f>HYPERLINK("https://mi.docs.wso2.com/en/4.4.0/learn/examples/proxy-service-examples/exposing-proxy-via-inbound/", "How to Expose a Proxy Service via Inbound Endpoints")</f>
        <v>0</v>
      </c>
    </row>
    <row r="79" spans="1:1">
      <c r="A79">
        <f>HYPERLINK("https://mi.docs.wso2.com/en/4.4.0/learn/examples/proxy-service-examples/securing-proxy-services/", "How to Secure a Proxy Service")</f>
        <v>0</v>
      </c>
    </row>
    <row r="80" spans="1:1">
      <c r="A80">
        <f>HYPERLINK("https://mi.docs.wso2.com/en/4.4.0/learn/integration-tutorials/using-inbound-endpoints/", "How to Use an Inbound Endpoints")</f>
        <v>0</v>
      </c>
    </row>
    <row r="81" spans="1:1">
      <c r="A81">
        <f>HYPERLINK("https://mi.docs.wso2.com/en/4.4.0/learn/examples/inbound-endpoint-examples/inbound-endpoint-jms-protocol/", "How to Use a JMS Inbound Endpoint")</f>
        <v>0</v>
      </c>
    </row>
    <row r="82" spans="1:1">
      <c r="A82">
        <f>HYPERLINK("https://mi.docs.wso2.com/en/4.4.0/learn/examples/inbound-endpoint-examples/file-inbound-endpoint/", "How to Use a File Inbound Endpoint")</f>
        <v>0</v>
      </c>
    </row>
    <row r="83" spans="1:1">
      <c r="A83">
        <f>HYPERLINK("https://mi.docs.wso2.com/en/4.4.0/learn/examples/inbound-endpoint-examples/inbound-endpoint-http-protocol/", "How to Use an HTTP Inbound Endpoint")</f>
        <v>0</v>
      </c>
    </row>
    <row r="84" spans="1:1">
      <c r="A84">
        <f>HYPERLINK("https://mi.docs.wso2.com/en/4.4.0/learn/examples/inbound-endpoint-examples/inbound-endpoint-https-protocol/", "How to Use an HTTPS Inbound Endpoint")</f>
        <v>0</v>
      </c>
    </row>
    <row r="85" spans="1:1">
      <c r="A85">
        <f>HYPERLINK("https://mi.docs.wso2.com/en/4.4.0/learn/examples/inbound-endpoint-examples/inbound-endpoint-hl7-protocol-auto-ack/", "How to Use an HL7 Inbound Endpoint")</f>
        <v>0</v>
      </c>
    </row>
    <row r="86" spans="1:1">
      <c r="A86">
        <f>HYPERLINK("https://mi.docs.wso2.com/en/4.4.0/learn/examples/inbound-endpoint-examples/inbound-endpoint-mqtt-protocol/", "How to Use an MQTT Inbound Endpoint")</f>
        <v>0</v>
      </c>
    </row>
    <row r="87" spans="1:1">
      <c r="A87">
        <f>HYPERLINK("https://mi.docs.wso2.com/en/4.4.0/learn/examples/inbound-endpoint-examples/inbound-endpoint-rabbitmq-protocol/", "How to Use a RabbitMQ Inbound Endpoint")</f>
        <v>0</v>
      </c>
    </row>
    <row r="88" spans="1:1">
      <c r="A88">
        <f>HYPERLINK("https://mi.docs.wso2.com/en/4.4.0/learn/examples/inbound-endpoint-examples/inbound-endpoint-kafka/", "How to Use a Kafka Inbound Endpoint")</f>
        <v>0</v>
      </c>
    </row>
    <row r="89" spans="1:1">
      <c r="A89">
        <f>HYPERLINK("https://mi.docs.wso2.com/en/4.4.0/learn/examples/inbound-endpoint-examples/inbound-endpoint-secured-websocket/", "How to Use a Secured WebSocket Inbound Endpoint")</f>
        <v>0</v>
      </c>
    </row>
    <row r="90" spans="1:1">
      <c r="A90">
        <f>HYPERLINK("https://mi.docs.wso2.com/en/4.4.0/learn/examples/inbound-endpoint-examples/inbound-endpoint-with-registry/", "How to Use an Inbound Endpoints with Registry")</f>
        <v>0</v>
      </c>
    </row>
    <row r="91" spans="1:1">
      <c r="A91">
        <f>HYPERLINK("https://mi.docs.wso2.com/en/4.4.0/learn/examples/registry-examples/local-registry-entries/", "How to Use Sequences and Endpoints as Local Entries")</f>
        <v>0</v>
      </c>
    </row>
    <row r="92" spans="1:1">
      <c r="A92">
        <f>HYPERLINK("https://mi.docs.wso2.com/en/4.4.0/learn/examples/template-examples/using-sequence-templates/", "How to Use a Sequence Template")</f>
        <v>0</v>
      </c>
    </row>
    <row r="93" spans="1:1">
      <c r="A93">
        <f>HYPERLINK("https://mi.docs.wso2.com/en/4.4.0/learn/examples/template-examples/using-endpoint-templates/", "How to Use an Endpoint Template")</f>
        <v>0</v>
      </c>
    </row>
    <row r="94" spans="1:1">
      <c r="A94">
        <f>HYPERLINK("https://mi.docs.wso2.com/en/4.4.0/learn/examples/message-store-processor-examples/intro-message-stores-processors/", "Introduction to Message Stores and Processors")</f>
        <v>0</v>
      </c>
    </row>
    <row r="95" spans="1:1">
      <c r="A95">
        <f>HYPERLINK("https://mi.docs.wso2.com/en/4.4.0/learn/examples/message-store-processor-examples/using-jdbc-message-store/", "How to Use a JDBC Message Store")</f>
        <v>0</v>
      </c>
    </row>
    <row r="96" spans="1:1">
      <c r="A96">
        <f>HYPERLINK("https://mi.docs.wso2.com/en/4.4.0/learn/examples/message-store-processor-examples/using-jms-message-stores/", "How to Use a JMS Message Store")</f>
        <v>0</v>
      </c>
    </row>
    <row r="97" spans="1:1">
      <c r="A97">
        <f>HYPERLINK("https://mi.docs.wso2.com/en/4.4.0/learn/examples/message-store-processor-examples/using-rabbitmq-message-stores/", "How to Use a RabbitMQ Message Store")</f>
        <v>0</v>
      </c>
    </row>
    <row r="98" spans="1:1">
      <c r="A98">
        <f>HYPERLINK("https://mi.docs.wso2.com/en/4.4.0/learn/examples/message-store-processor-examples/using-message-sampling-processor/", "How to Use a Message Sampling Processor")</f>
        <v>0</v>
      </c>
    </row>
    <row r="99" spans="1:1">
      <c r="A99">
        <f>HYPERLINK("https://mi.docs.wso2.com/en/4.4.0/learn/examples/message-store-processor-examples/using-message-forwarding-processor/", "How to Use a Message Forwarding Processor")</f>
        <v>0</v>
      </c>
    </row>
    <row r="100" spans="1:1">
      <c r="A100">
        <f>HYPERLINK("https://mi.docs.wso2.com/en/4.4.0/learn/examples/message-store-processor-examples/securing-message-processor/", "How to Secure the Message Forwarding Processor")</f>
        <v>0</v>
      </c>
    </row>
    <row r="101" spans="1:1">
      <c r="A101">
        <f>HYPERLINK("https://mi.docs.wso2.com/en/4.4.0/learn/examples/message-store-processor-examples/loadbalancing-with-message-processor/", "How to Implement Load Balancing with Message Forwarding Processor")</f>
        <v>0</v>
      </c>
    </row>
    <row r="102" spans="1:1">
      <c r="A102">
        <f>HYPERLINK("https://mi.docs.wso2.com/en/4.4.0/learn/examples/endpoint-examples/using-http-endpoints/", "How to Use an HTTP Endpoint")</f>
        <v>0</v>
      </c>
    </row>
    <row r="103" spans="1:1">
      <c r="A103">
        <f>HYPERLINK("https://mi.docs.wso2.com/en/4.4.0/learn/examples/endpoint-examples/using-address-endpoints/", "How to Use an Address Endpoint")</f>
        <v>0</v>
      </c>
    </row>
    <row r="104" spans="1:1">
      <c r="A104">
        <f>HYPERLINK("https://mi.docs.wso2.com/en/4.4.0/learn/examples/endpoint-examples/using-failover-endpoints/", "How to Use a Failover Endpoint")</f>
        <v>0</v>
      </c>
    </row>
    <row r="105" spans="1:1">
      <c r="A105">
        <f>HYPERLINK("https://mi.docs.wso2.com/en/4.4.0/learn/examples/endpoint-examples/using-websocket-endpoints/", "How to Use a WebSocket Endpoint")</f>
        <v>0</v>
      </c>
    </row>
    <row r="106" spans="1:1">
      <c r="A106">
        <f>HYPERLINK("https://mi.docs.wso2.com/en/4.4.0/learn/examples/endpoint-examples/using-wsdl-endpoints/", "How to Use a WSDL Endpoint")</f>
        <v>0</v>
      </c>
    </row>
    <row r="107" spans="1:1">
      <c r="A107">
        <f>HYPERLINK("https://mi.docs.wso2.com/en/4.4.0/learn/examples/endpoint-examples/using-loadbalancing-endpoints/", "How to Use a Load Balance Endpoint")</f>
        <v>0</v>
      </c>
    </row>
    <row r="108" spans="1:1">
      <c r="A108">
        <f>HYPERLINK("https://mi.docs.wso2.com/en/4.4.0/learn/examples/endpoint-examples/using-static-recepient-list-endpoints/", "How to Route Messages to a Static List of Recipients")</f>
        <v>0</v>
      </c>
    </row>
    <row r="109" spans="1:1">
      <c r="A109">
        <f>HYPERLINK("https://mi.docs.wso2.com/en/4.4.0/learn/examples/endpoint-examples/using-dynamic-recepient-list-endpoints-1/", "How to Route Messages to a Dynamic List of Recipients")</f>
        <v>0</v>
      </c>
    </row>
    <row r="110" spans="1:1">
      <c r="A110">
        <f>HYPERLINK("https://mi.docs.wso2.com/en/4.4.0/learn/examples/endpoint-examples/using-dynamic-recepient-list-endpoints-2/", "How to Route Messages to a Dynamic List of Recipients and Aggregate Responses")</f>
        <v>0</v>
      </c>
    </row>
    <row r="111" spans="1:1">
      <c r="A111">
        <f>HYPERLINK("https://mi.docs.wso2.com/en/4.4.0/learn/examples/endpoint-examples/reusing-endpoints/", "How to Reuse Endpoints")</f>
        <v>0</v>
      </c>
    </row>
    <row r="112" spans="1:1">
      <c r="A112">
        <f>HYPERLINK("https://mi.docs.wso2.com/en/4.4.0/learn/examples/endpoint-examples/endpoint-error-handling/", "How to Handle Endpoint Errors")</f>
        <v>0</v>
      </c>
    </row>
    <row r="113" spans="1:1">
      <c r="A113">
        <f>HYPERLINK("https://mi.docs.wso2.com/en/4.4.0/learn/examples/endpoint-examples/mtom-swa-with-endpoints/", "How to Implement MTOM and SwA Optimizations")</f>
        <v>0</v>
      </c>
    </row>
    <row r="114" spans="1:1">
      <c r="A114">
        <f>HYPERLINK("https://mi.docs.wso2.com/en/4.4.0/learn/examples/sequence-examples/using-multiple-sequences/", "How to Break Complex Flows into Multiple Sequences")</f>
        <v>0</v>
      </c>
    </row>
    <row r="115" spans="1:1">
      <c r="A115">
        <f>HYPERLINK("https://mi.docs.wso2.com/en/4.4.0/learn/examples/sequence-examples/using-fault-sequences/", "How to Use Fault Sequences")</f>
        <v>0</v>
      </c>
    </row>
    <row r="116" spans="1:1">
      <c r="A116">
        <f>HYPERLINK("https://mi.docs.wso2.com/en/4.4.0/learn/integration-tutorials/using-templates/", "How to Reuse Mediation Sequences")</f>
        <v>0</v>
      </c>
    </row>
    <row r="117" spans="1:1">
      <c r="A117">
        <f>HYPERLINK("https://mi.docs.wso2.com/en/4.4.0/learn/integration-use-case/scheduled-task-overview/", "What is Periodic Execution of Integration Processes")</f>
        <v>0</v>
      </c>
    </row>
    <row r="118" spans="1:1">
      <c r="A118">
        <f>HYPERLINK("https://mi.docs.wso2.com/en/4.4.0/learn/integration-tutorials/using-scheduled-tasks/", "How to Periodically Execute Integration Processes")</f>
        <v>0</v>
      </c>
    </row>
    <row r="119" spans="1:1">
      <c r="A119">
        <f>HYPERLINK("https://mi.docs.wso2.com/en/4.4.0/learn/examples/scheduled-tasks/task-scheduling-simple-trigger/", "How to Schedule Tasks using a Simple Trigger")</f>
        <v>0</v>
      </c>
    </row>
    <row r="120" spans="1:1">
      <c r="A120">
        <f>HYPERLINK("https://mi.docs.wso2.com/en/4.4.0/learn/examples/scheduled-tasks/injecting-messages-to-rest-endpoint/", "How to Inject Messages to a RESTful Endpoint")</f>
        <v>0</v>
      </c>
    </row>
    <row r="121" spans="1:1">
      <c r="A121">
        <f>HYPERLINK("https://mi.docs.wso2.com/en/4.4.0/learn/examples/transport-examples/tcp-transport-examples/", "How to Use TCP Transport")</f>
        <v>0</v>
      </c>
    </row>
    <row r="122" spans="1:1">
      <c r="A122">
        <f>HYPERLINK("https://mi.docs.wso2.com/en/4.4.0/learn/examples/transport-examples/fix-transport-examples/", "How to Use FIX Transport")</f>
        <v>0</v>
      </c>
    </row>
    <row r="123" spans="1:1">
      <c r="A123">
        <f>HYPERLINK("https://mi.docs.wso2.com/en/4.4.0/learn/examples/transport-examples/pub-sub-using-mqtt/", "How to Use MQTT Transport")</f>
        <v>0</v>
      </c>
    </row>
    <row r="124" spans="1:1">
      <c r="A124">
        <f>HYPERLINK("https://mi.docs.wso2.com/en/4.4.0/learn/examples/file-processing/mailto-transport-examples/", "How to Use MailTo Transport")</f>
        <v>0</v>
      </c>
    </row>
    <row r="125" spans="1:1">
      <c r="A125">
        <f>HYPERLINK("https://mi.docs.wso2.com/en/4.4.0/learn/examples/hl7-examples/hl7-proxy-service/", "How to Mediate HL7 Messages")</f>
        <v>0</v>
      </c>
    </row>
    <row r="126" spans="1:1">
      <c r="A126">
        <f>HYPERLINK("https://mi.docs.wso2.com/en/4.4.0/learn/examples/hl7-examples/acknowledge-hl7-messages/", "How to Acknowledge HL7 Messages")</f>
        <v>0</v>
      </c>
    </row>
    <row r="127" spans="1:1">
      <c r="A127">
        <f>HYPERLINK("https://mi.docs.wso2.com/en/4.4.0/learn/examples/hl7-examples/file-transfer-using-hl7/", "How to Use HL7 Messages with File Systems")</f>
        <v>0</v>
      </c>
    </row>
    <row r="128" spans="1:1">
      <c r="A128">
        <f>HYPERLINK("https://mi.docs.wso2.com/en/4.4.0/learn/integration-tutorials/service-catalog-tutorial/", "How to Expose an Integration Service as a Managed API")</f>
        <v>0</v>
      </c>
    </row>
    <row r="129" spans="1:1">
      <c r="A129">
        <f>HYPERLINK("https://mi.docs.wso2.com/en/4.4.0/learn/examples/json-examples/json-examples/", "How to Work with JSON Message Payloads")</f>
        <v>0</v>
      </c>
    </row>
    <row r="130" spans="1:1">
      <c r="A130">
        <f>HYPERLINK("https://mi.docs.wso2.com/en/4.4.0/learn/examples/integrating-mi-with-si/", "How to Integrate MI with SI")</f>
        <v>0</v>
      </c>
    </row>
    <row r="131" spans="1:1">
      <c r="A131">
        <f>HYPERLINK("https://mi.docs.wso2.com/en/4.4.0/learn/samples/samples-overview/", "Overview")</f>
        <v>0</v>
      </c>
    </row>
    <row r="132" spans="1:1">
      <c r="A132">
        <f>HYPERLINK("https://mi.docs.wso2.com/en/4.4.0/learn/samples/hello-world-service/", "Hello World Service")</f>
        <v>0</v>
      </c>
    </row>
    <row r="133" spans="1:1">
      <c r="A133">
        <f>HYPERLINK("https://mi.docs.wso2.com/en/4.4.0/learn/samples/jms-integration/", "JMS Integration")</f>
        <v>0</v>
      </c>
    </row>
    <row r="134" spans="1:1">
      <c r="A134">
        <f>HYPERLINK("https://mi.docs.wso2.com/en/4.4.0/learn/samples/content-based-routing/", "Content Based Routing")</f>
        <v>0</v>
      </c>
    </row>
    <row r="135" spans="1:1">
      <c r="A135">
        <f>HYPERLINK("https://mi.docs.wso2.com/en/4.4.0/learn/samples/database-polling/", "Database Polling")</f>
        <v>0</v>
      </c>
    </row>
    <row r="136" spans="1:1">
      <c r="A136">
        <f>HYPERLINK("https://mi.docs.wso2.com/en/4.4.0/learn/samples/email-service/", "Email Service")</f>
        <v>0</v>
      </c>
    </row>
    <row r="137" spans="1:1">
      <c r="A137">
        <f>HYPERLINK("https://mi.docs.wso2.com/en/4.4.0/learn/samples/exception-handling/", "Exception Handling")</f>
        <v>0</v>
      </c>
    </row>
    <row r="138" spans="1:1">
      <c r="A138">
        <f>HYPERLINK("https://mi.docs.wso2.com/en/4.4.0/learn/samples/fetch-salesforce/", "Fetch SalesForce Accounts")</f>
        <v>0</v>
      </c>
    </row>
    <row r="139" spans="1:1">
      <c r="A139">
        <f>HYPERLINK("https://mi.docs.wso2.com/en/4.4.0/learn/samples/file-transfer/", "File Transfer")</f>
        <v>0</v>
      </c>
    </row>
    <row r="140" spans="1:1">
      <c r="A140">
        <f>HYPERLINK("https://mi.docs.wso2.com/en/4.4.0/learn/samples/guaranteed-delivery/", "Guaranteed Delivery")</f>
        <v>0</v>
      </c>
    </row>
    <row r="141" spans="1:1">
      <c r="A141">
        <f>HYPERLINK("https://mi.docs.wso2.com/en/4.4.0/learn/samples/header-based-routing/", "Header Based Routing")</f>
        <v>0</v>
      </c>
    </row>
    <row r="142" spans="1:1">
      <c r="A142">
        <f>HYPERLINK("https://mi.docs.wso2.com/en/4.4.0/learn/samples/api-testing/", "API Testing")</f>
        <v>0</v>
      </c>
    </row>
    <row r="143" spans="1:1">
      <c r="A143">
        <f>HYPERLINK("https://mi.docs.wso2.com/en/4.4.0/learn/samples/docker-sample/", "Hello Docker")</f>
        <v>0</v>
      </c>
    </row>
    <row r="144" spans="1:1">
      <c r="A144">
        <f>HYPERLINK("https://mi.docs.wso2.com/en/4.4.0/learn/samples/kafka-sample/", "Kafka Consumer and Producer")</f>
        <v>0</v>
      </c>
    </row>
    <row r="145" spans="1:1">
      <c r="A145">
        <f>HYPERLINK("https://mi.docs.wso2.com/en/4.4.0/learn/samples/message-filtering/", "Message Filtering")</f>
        <v>0</v>
      </c>
    </row>
    <row r="146" spans="1:1">
      <c r="A146">
        <f>HYPERLINK("https://mi.docs.wso2.com/en/4.4.0/learn/samples/periodical-scheduled-tasks/", "Periodical Scheduled Tasks")</f>
        <v>0</v>
      </c>
    </row>
    <row r="147" spans="1:1">
      <c r="A147">
        <f>HYPERLINK("https://mi.docs.wso2.com/en/4.4.0/learn/samples/protocol-switching/", "Protocol Switching")</f>
        <v>0</v>
      </c>
    </row>
    <row r="148" spans="1:1">
      <c r="A148">
        <f>HYPERLINK("https://mi.docs.wso2.com/en/4.4.0/learn/samples/proxying-rest-service/", "Proxying a REST Service")</f>
        <v>0</v>
      </c>
    </row>
    <row r="149" spans="1:1">
      <c r="A149">
        <f>HYPERLINK("https://mi.docs.wso2.com/en/4.4.0/learn/samples/proxying-soap-service/", "Proxying a SOAP Service")</f>
        <v>0</v>
      </c>
    </row>
    <row r="150" spans="1:1">
      <c r="A150">
        <f>HYPERLINK("https://mi.docs.wso2.com/en/4.4.0/learn/samples/rabbitmq-integration/", "RabbitMQ Integration")</f>
        <v>0</v>
      </c>
    </row>
    <row r="151" spans="1:1">
      <c r="A151">
        <f>HYPERLINK("https://mi.docs.wso2.com/en/4.4.0/learn/samples/rest-data-service/", "REST Data Service")</f>
        <v>0</v>
      </c>
    </row>
    <row r="152" spans="1:1">
      <c r="A152">
        <f>HYPERLINK("https://mi.docs.wso2.com/en/4.4.0/learn/samples/rest-to-soap-conversion/", "REST to SOAP Conversion")</f>
        <v>0</v>
      </c>
    </row>
    <row r="153" spans="1:1">
      <c r="A153">
        <f>HYPERLINK("https://mi.docs.wso2.com/en/4.4.0/learn/samples/scatter-gather-integration-pattern/", "Scatter Gather Integration Pattern")</f>
        <v>0</v>
      </c>
    </row>
    <row r="154" spans="1:1">
      <c r="A154">
        <f>HYPERLINK("https://mi.docs.wso2.com/en/4.4.0/learn/samples/students-data-service/", "Students Data Service")</f>
        <v>0</v>
      </c>
    </row>
    <row r="155" spans="1:1">
      <c r="A155">
        <f>HYPERLINK("https://mi.docs.wso2.com/en/4.4.0/learn/samples/xml-to-json-transformation/", "XML To JSON Transformation")</f>
        <v>0</v>
      </c>
    </row>
    <row r="156" spans="1:1">
      <c r="A156">
        <f>HYPERLINK("https://mi.docs.wso2.com/en/4.4.0/learn/samples/unit-testing/", "Unit Test Tutorial")</f>
        <v>0</v>
      </c>
    </row>
    <row r="157" spans="1:1">
      <c r="A157">
        <f>HYPERLINK("https://mi.docs.wso2.com/en/4.4.0/learn/enterprise-integration-patterns/eip-overview/", "Overview")</f>
        <v>0</v>
      </c>
    </row>
    <row r="158" spans="1:1">
      <c r="A158">
        <f>HYPERLINK("https://mi.docs.wso2.com/en/4.4.0/learn/enterprise-integration-patterns/messaging-systems/overview/", "Messaging Systems - Overview")</f>
        <v>0</v>
      </c>
    </row>
    <row r="159" spans="1:1">
      <c r="A159">
        <f>HYPERLINK("https://mi.docs.wso2.com/en/4.4.0/learn/enterprise-integration-patterns/messaging-systems/message-channels/", "Message Channels")</f>
        <v>0</v>
      </c>
    </row>
    <row r="160" spans="1:1">
      <c r="A160">
        <f>HYPERLINK("https://mi.docs.wso2.com/en/4.4.0/learn/enterprise-integration-patterns/messaging-systems/message/", "Message")</f>
        <v>0</v>
      </c>
    </row>
    <row r="161" spans="1:1">
      <c r="A161">
        <f>HYPERLINK("https://mi.docs.wso2.com/en/4.4.0/learn/enterprise-integration-patterns/messaging-systems/pipes-and-filters/", "Pipes and Filters")</f>
        <v>0</v>
      </c>
    </row>
    <row r="162" spans="1:1">
      <c r="A162">
        <f>HYPERLINK("https://mi.docs.wso2.com/en/4.4.0/learn/enterprise-integration-patterns/messaging-systems/message-router/", "Message Router")</f>
        <v>0</v>
      </c>
    </row>
    <row r="163" spans="1:1">
      <c r="A163">
        <f>HYPERLINK("https://mi.docs.wso2.com/en/4.4.0/learn/enterprise-integration-patterns/messaging-systems/message-translator/", "Message Translator")</f>
        <v>0</v>
      </c>
    </row>
    <row r="164" spans="1:1">
      <c r="A164">
        <f>HYPERLINK("https://mi.docs.wso2.com/en/4.4.0/learn/enterprise-integration-patterns/messaging-systems/message-endpoint/", "Message Endpoint")</f>
        <v>0</v>
      </c>
    </row>
    <row r="165" spans="1:1">
      <c r="A165">
        <f>HYPERLINK("https://mi.docs.wso2.com/en/4.4.0/learn/enterprise-integration-patterns/messaging-channels/overview/", "Messaging Channels - Overview")</f>
        <v>0</v>
      </c>
    </row>
    <row r="166" spans="1:1">
      <c r="A166">
        <f>HYPERLINK("https://mi.docs.wso2.com/en/4.4.0/learn/enterprise-integration-patterns/messaging-channels/point-to-point-channel/", "Point-to-Point Channel")</f>
        <v>0</v>
      </c>
    </row>
    <row r="167" spans="1:1">
      <c r="A167">
        <f>HYPERLINK("https://mi.docs.wso2.com/en/4.4.0/learn/enterprise-integration-patterns/messaging-channels/publish-subscribe-channel/", "Publish-Subscribe Channel")</f>
        <v>0</v>
      </c>
    </row>
    <row r="168" spans="1:1">
      <c r="A168">
        <f>HYPERLINK("https://mi.docs.wso2.com/en/4.4.0/learn/enterprise-integration-patterns/messaging-channels/datatype-channel/", "Datatype Channel")</f>
        <v>0</v>
      </c>
    </row>
    <row r="169" spans="1:1">
      <c r="A169">
        <f>HYPERLINK("https://mi.docs.wso2.com/en/4.4.0/learn/enterprise-integration-patterns/messaging-channels/invalid-message-channel/", "Invalid Message Channel")</f>
        <v>0</v>
      </c>
    </row>
    <row r="170" spans="1:1">
      <c r="A170">
        <f>HYPERLINK("https://mi.docs.wso2.com/en/4.4.0/learn/enterprise-integration-patterns/messaging-channels/dead-letter-channel/", "Dead Letter Channel")</f>
        <v>0</v>
      </c>
    </row>
    <row r="171" spans="1:1">
      <c r="A171">
        <f>HYPERLINK("https://mi.docs.wso2.com/en/4.4.0/learn/enterprise-integration-patterns/messaging-channels/guaranteed-delivery/", "Guaranteed Delivery")</f>
        <v>0</v>
      </c>
    </row>
    <row r="172" spans="1:1">
      <c r="A172">
        <f>HYPERLINK("https://mi.docs.wso2.com/en/4.4.0/learn/enterprise-integration-patterns/messaging-channels/channel-adapter/", "Channel Adapter")</f>
        <v>0</v>
      </c>
    </row>
    <row r="173" spans="1:1">
      <c r="A173">
        <f>HYPERLINK("https://mi.docs.wso2.com/en/4.4.0/learn/enterprise-integration-patterns/messaging-channels/messaging-bridge/", "Messaging Bridge")</f>
        <v>0</v>
      </c>
    </row>
    <row r="174" spans="1:1">
      <c r="A174">
        <f>HYPERLINK("https://mi.docs.wso2.com/en/4.4.0/learn/enterprise-integration-patterns/messaging-channels/message-bus/", "Message Bus")</f>
        <v>0</v>
      </c>
    </row>
    <row r="175" spans="1:1">
      <c r="A175">
        <f>HYPERLINK("https://mi.docs.wso2.com/en/4.4.0/learn/enterprise-integration-patterns/message-construction/overview/", "Message Construction - Overview")</f>
        <v>0</v>
      </c>
    </row>
    <row r="176" spans="1:1">
      <c r="A176">
        <f>HYPERLINK("https://mi.docs.wso2.com/en/4.4.0/learn/enterprise-integration-patterns/message-construction/command-message/", "Command Message")</f>
        <v>0</v>
      </c>
    </row>
    <row r="177" spans="1:1">
      <c r="A177">
        <f>HYPERLINK("https://mi.docs.wso2.com/en/4.4.0/learn/enterprise-integration-patterns/message-construction/document-message/", "Document Message")</f>
        <v>0</v>
      </c>
    </row>
    <row r="178" spans="1:1">
      <c r="A178">
        <f>HYPERLINK("https://mi.docs.wso2.com/en/4.4.0/learn/enterprise-integration-patterns/message-construction/event-message/", "Event Message")</f>
        <v>0</v>
      </c>
    </row>
    <row r="179" spans="1:1">
      <c r="A179">
        <f>HYPERLINK("https://mi.docs.wso2.com/en/4.4.0/learn/enterprise-integration-patterns/message-construction/request-reply/", "Request-Reply")</f>
        <v>0</v>
      </c>
    </row>
    <row r="180" spans="1:1">
      <c r="A180">
        <f>HYPERLINK("https://mi.docs.wso2.com/en/4.4.0/learn/enterprise-integration-patterns/message-construction/return-address/", "Return Address")</f>
        <v>0</v>
      </c>
    </row>
    <row r="181" spans="1:1">
      <c r="A181">
        <f>HYPERLINK("https://mi.docs.wso2.com/en/4.4.0/learn/enterprise-integration-patterns/message-construction/correlation-identifier/", "Correlation Identifier")</f>
        <v>0</v>
      </c>
    </row>
    <row r="182" spans="1:1">
      <c r="A182">
        <f>HYPERLINK("https://mi.docs.wso2.com/en/4.4.0/learn/enterprise-integration-patterns/message-construction/message-sequence/", "Message Sequence")</f>
        <v>0</v>
      </c>
    </row>
    <row r="183" spans="1:1">
      <c r="A183">
        <f>HYPERLINK("https://mi.docs.wso2.com/en/4.4.0/learn/enterprise-integration-patterns/message-construction/message-expiration/", "Message Expiration")</f>
        <v>0</v>
      </c>
    </row>
    <row r="184" spans="1:1">
      <c r="A184">
        <f>HYPERLINK("https://mi.docs.wso2.com/en/4.4.0/learn/enterprise-integration-patterns/message-construction/format-indicator/", "Format Indicator")</f>
        <v>0</v>
      </c>
    </row>
    <row r="185" spans="1:1">
      <c r="A185">
        <f>HYPERLINK("https://mi.docs.wso2.com/en/4.4.0/learn/enterprise-integration-patterns/message-routing/overview/", "Message Routing - Overview")</f>
        <v>0</v>
      </c>
    </row>
    <row r="186" spans="1:1">
      <c r="A186">
        <f>HYPERLINK("https://mi.docs.wso2.com/en/4.4.0/learn/enterprise-integration-patterns/message-routing/content-based-router/", "Content-Based Router")</f>
        <v>0</v>
      </c>
    </row>
    <row r="187" spans="1:1">
      <c r="A187">
        <f>HYPERLINK("https://mi.docs.wso2.com/en/4.4.0/learn/enterprise-integration-patterns/message-routing/message-filter/", "Message Filter")</f>
        <v>0</v>
      </c>
    </row>
    <row r="188" spans="1:1">
      <c r="A188">
        <f>HYPERLINK("https://mi.docs.wso2.com/en/4.4.0/learn/enterprise-integration-patterns/message-routing/dynamic-router/", "Dynamic Router")</f>
        <v>0</v>
      </c>
    </row>
    <row r="189" spans="1:1">
      <c r="A189">
        <f>HYPERLINK("https://mi.docs.wso2.com/en/4.4.0/learn/enterprise-integration-patterns/message-routing/recipient-list/", "Recipient List")</f>
        <v>0</v>
      </c>
    </row>
    <row r="190" spans="1:1">
      <c r="A190">
        <f>HYPERLINK("https://mi.docs.wso2.com/en/4.4.0/learn/enterprise-integration-patterns/message-routing/splitter/", "Splitter")</f>
        <v>0</v>
      </c>
    </row>
    <row r="191" spans="1:1">
      <c r="A191">
        <f>HYPERLINK("https://mi.docs.wso2.com/en/4.4.0/learn/enterprise-integration-patterns/message-routing/aggregator/", "Aggregator")</f>
        <v>0</v>
      </c>
    </row>
    <row r="192" spans="1:1">
      <c r="A192">
        <f>HYPERLINK("https://mi.docs.wso2.com/en/4.4.0/learn/enterprise-integration-patterns/message-routing/composed-message-processor/", "Composed Message Processor")</f>
        <v>0</v>
      </c>
    </row>
    <row r="193" spans="1:1">
      <c r="A193">
        <f>HYPERLINK("https://mi.docs.wso2.com/en/4.4.0/learn/enterprise-integration-patterns/message-routing/scatter-gather/", "Scatter-Gather")</f>
        <v>0</v>
      </c>
    </row>
    <row r="194" spans="1:1">
      <c r="A194">
        <f>HYPERLINK("https://mi.docs.wso2.com/en/4.4.0/learn/enterprise-integration-patterns/message-routing/routing-slip/", "Routing Slip")</f>
        <v>0</v>
      </c>
    </row>
    <row r="195" spans="1:1">
      <c r="A195">
        <f>HYPERLINK("https://mi.docs.wso2.com/en/4.4.0/learn/enterprise-integration-patterns/message-routing/process-manager/", "Process Manager")</f>
        <v>0</v>
      </c>
    </row>
    <row r="196" spans="1:1">
      <c r="A196">
        <f>HYPERLINK("https://mi.docs.wso2.com/en/4.4.0/learn/enterprise-integration-patterns/message-routing/message-broker/", "Message Broker")</f>
        <v>0</v>
      </c>
    </row>
    <row r="197" spans="1:1">
      <c r="A197">
        <f>HYPERLINK("https://mi.docs.wso2.com/en/4.4.0/learn/enterprise-integration-patterns/message-transformation/overview/", "Message Transformation - Overview")</f>
        <v>0</v>
      </c>
    </row>
    <row r="198" spans="1:1">
      <c r="A198">
        <f>HYPERLINK("https://mi.docs.wso2.com/en/4.4.0/learn/enterprise-integration-patterns/message-transformation/envelope-wrapper/", "Envelope Wrapper")</f>
        <v>0</v>
      </c>
    </row>
    <row r="199" spans="1:1">
      <c r="A199">
        <f>HYPERLINK("https://mi.docs.wso2.com/en/4.4.0/learn/enterprise-integration-patterns/message-transformation/content-enricher/", "Content Enricher")</f>
        <v>0</v>
      </c>
    </row>
    <row r="200" spans="1:1">
      <c r="A200">
        <f>HYPERLINK("https://mi.docs.wso2.com/en/4.4.0/learn/enterprise-integration-patterns/message-transformation/content-filter/", "Content Filter")</f>
        <v>0</v>
      </c>
    </row>
    <row r="201" spans="1:1">
      <c r="A201">
        <f>HYPERLINK("https://mi.docs.wso2.com/en/4.4.0/learn/enterprise-integration-patterns/message-transformation/claim-check/", "Claim Check")</f>
        <v>0</v>
      </c>
    </row>
    <row r="202" spans="1:1">
      <c r="A202">
        <f>HYPERLINK("https://mi.docs.wso2.com/en/4.4.0/learn/enterprise-integration-patterns/message-transformation/normalizer/", "Normalizer")</f>
        <v>0</v>
      </c>
    </row>
    <row r="203" spans="1:1">
      <c r="A203">
        <f>HYPERLINK("https://mi.docs.wso2.com/en/4.4.0/learn/enterprise-integration-patterns/message-transformation/canonical-data-model/", "Canonical Data Model")</f>
        <v>0</v>
      </c>
    </row>
    <row r="204" spans="1:1">
      <c r="A204">
        <f>HYPERLINK("https://mi.docs.wso2.com/en/4.4.0/learn/enterprise-integration-patterns/messaging-endpoints/overview/", "Messaging Endpoints - Overview")</f>
        <v>0</v>
      </c>
    </row>
    <row r="205" spans="1:1">
      <c r="A205">
        <f>HYPERLINK("https://mi.docs.wso2.com/en/4.4.0/learn/enterprise-integration-patterns/messaging-endpoints/messaging-gateway/", "Messaging Gateway")</f>
        <v>0</v>
      </c>
    </row>
    <row r="206" spans="1:1">
      <c r="A206">
        <f>HYPERLINK("https://mi.docs.wso2.com/en/4.4.0/learn/enterprise-integration-patterns/messaging-endpoints/messaging-mapper/", "Messaging Mapper")</f>
        <v>0</v>
      </c>
    </row>
    <row r="207" spans="1:1">
      <c r="A207">
        <f>HYPERLINK("https://mi.docs.wso2.com/en/4.4.0/learn/enterprise-integration-patterns/messaging-endpoints/transactional-client/", "Transactional Client")</f>
        <v>0</v>
      </c>
    </row>
    <row r="208" spans="1:1">
      <c r="A208">
        <f>HYPERLINK("https://mi.docs.wso2.com/en/4.4.0/learn/enterprise-integration-patterns/messaging-endpoints/polling-consumer/", "Polling Consumer")</f>
        <v>0</v>
      </c>
    </row>
    <row r="209" spans="1:1">
      <c r="A209">
        <f>HYPERLINK("https://mi.docs.wso2.com/en/4.4.0/learn/enterprise-integration-patterns/messaging-endpoints/event-driven-consumer/", "Event-Driven Consumer")</f>
        <v>0</v>
      </c>
    </row>
    <row r="210" spans="1:1">
      <c r="A210">
        <f>HYPERLINK("https://mi.docs.wso2.com/en/4.4.0/learn/enterprise-integration-patterns/messaging-endpoints/competing-consumers/", "Competing Consumers")</f>
        <v>0</v>
      </c>
    </row>
    <row r="211" spans="1:1">
      <c r="A211">
        <f>HYPERLINK("https://mi.docs.wso2.com/en/4.4.0/learn/enterprise-integration-patterns/messaging-endpoints/message-dispatcher/", "Message Dispatcher")</f>
        <v>0</v>
      </c>
    </row>
    <row r="212" spans="1:1">
      <c r="A212">
        <f>HYPERLINK("https://mi.docs.wso2.com/en/4.4.0/learn/enterprise-integration-patterns/messaging-endpoints/selective-consumer/", "Selective Consumer")</f>
        <v>0</v>
      </c>
    </row>
    <row r="213" spans="1:1">
      <c r="A213">
        <f>HYPERLINK("https://mi.docs.wso2.com/en/4.4.0/learn/enterprise-integration-patterns/messaging-endpoints/durable-subscriber/", "Durable Subscriber")</f>
        <v>0</v>
      </c>
    </row>
    <row r="214" spans="1:1">
      <c r="A214">
        <f>HYPERLINK("https://mi.docs.wso2.com/en/4.4.0/learn/enterprise-integration-patterns/messaging-endpoints/service-activator/", "Service Activator")</f>
        <v>0</v>
      </c>
    </row>
    <row r="215" spans="1:1">
      <c r="A215">
        <f>HYPERLINK("https://mi.docs.wso2.com/en/4.4.0/develop/intro-integration-development/", "Develop Integration Solutions")</f>
        <v>0</v>
      </c>
    </row>
    <row r="216" spans="1:1">
      <c r="A216">
        <f>HYPERLINK("https://mi.docs.wso2.com/en/4.4.0/develop/mi-for-vscode/mi-for-vscode-overview/", "Overview - Micro Integrator for VSCode")</f>
        <v>0</v>
      </c>
    </row>
    <row r="217" spans="1:1">
      <c r="A217">
        <f>HYPERLINK("https://mi.docs.wso2.com/en/4.4.0/develop/mi-for-vscode/install-wso2-mi-for-vscode/", "Install Micro Integrator for VSCode")</f>
        <v>0</v>
      </c>
    </row>
    <row r="218" spans="1:1">
      <c r="A218">
        <f>HYPERLINK("https://mi.docs.wso2.com/en/4.4.0/develop/mi-for-vscode/troubleshooting-mi-for-vscode/", "Troubleshooting MI for VS Code")</f>
        <v>0</v>
      </c>
    </row>
    <row r="219" spans="1:1">
      <c r="A219">
        <f>HYPERLINK("https://mi.docs.wso2.com/en/4.4.0/develop/mi-for-vscode/mi-copilot/", "MI Copilot")</f>
        <v>0</v>
      </c>
    </row>
    <row r="220" spans="1:1">
      <c r="A220">
        <f>HYPERLINK("https://mi.docs.wso2.com/en/4.4.0/develop/wso2-integration-studio/", "Quick Tour - WSO2 Integration Studio")</f>
        <v>0</v>
      </c>
    </row>
    <row r="221" spans="1:1">
      <c r="A221">
        <f>HYPERLINK("https://mi.docs.wso2.com/en/4.4.0/develop/installing-wso2-integration-studio/", "Install WSO2 Integration Studio")</f>
        <v>0</v>
      </c>
    </row>
    <row r="222" spans="1:1">
      <c r="A222">
        <f>HYPERLINK("https://mi.docs.wso2.com/en/4.4.0/develop/working-with-wso2-integration-studio/", "Work with WSO2 Integration Studio")</f>
        <v>0</v>
      </c>
    </row>
    <row r="223" spans="1:1">
      <c r="A223">
        <f>HYPERLINK("https://mi.docs.wso2.com/en/4.4.0/develop/troubleshooting-wso2-integration-studio/", "Troubleshooting WSO2 Integration Studio")</f>
        <v>0</v>
      </c>
    </row>
    <row r="224" spans="1:1">
      <c r="A224">
        <f>HYPERLINK("https://mi.docs.wso2.com/en/4.4.0/develop/using-embedded-micro-integrator/", "Use the Embedded Micro Integrator")</f>
        <v>0</v>
      </c>
    </row>
    <row r="225" spans="1:1">
      <c r="A225">
        <f>HYPERLINK("https://mi.docs.wso2.com/en/4.4.0/develop/create-integration-project/", "Create an Integration Project")</f>
        <v>0</v>
      </c>
    </row>
    <row r="226" spans="1:1">
      <c r="A226">
        <f>HYPERLINK("https://mi.docs.wso2.com/en/4.4.0/develop/opening-projects/", "Open Projects")</f>
        <v>0</v>
      </c>
    </row>
    <row r="227" spans="1:1">
      <c r="A227">
        <f>HYPERLINK("https://mi.docs.wso2.com/en/4.4.0/develop/creating-artifacts/creating-an-api/", "Create a REST API")</f>
        <v>0</v>
      </c>
    </row>
    <row r="228" spans="1:1">
      <c r="A228">
        <f>HYPERLINK("https://mi.docs.wso2.com/en/4.4.0/develop/creating-artifacts/creating-a-proxy-service/", "Create a Proxy Service")</f>
        <v>0</v>
      </c>
    </row>
    <row r="229" spans="1:1">
      <c r="A229">
        <f>HYPERLINK("https://mi.docs.wso2.com/en/4.4.0/develop/creating-artifacts/creating-scheduled-task/", "Create Scheduled Tasks")</f>
        <v>0</v>
      </c>
    </row>
    <row r="230" spans="1:1">
      <c r="A230">
        <f>HYPERLINK("https://mi.docs.wso2.com/en/4.4.0/develop/creating-artifacts/creating-a-message-store/", "Create a Message Store")</f>
        <v>0</v>
      </c>
    </row>
    <row r="231" spans="1:1">
      <c r="A231">
        <f>HYPERLINK("https://mi.docs.wso2.com/en/4.4.0/develop/creating-artifacts/creating-a-message-processor/", "Create a Message Processor")</f>
        <v>0</v>
      </c>
    </row>
    <row r="232" spans="1:1">
      <c r="A232">
        <f>HYPERLINK("https://mi.docs.wso2.com/en/4.4.0/develop/creating-artifacts/creating-endpoints/", "Create an Endpoint")</f>
        <v>0</v>
      </c>
    </row>
    <row r="233" spans="1:1">
      <c r="A233">
        <f>HYPERLINK("https://mi.docs.wso2.com/en/4.4.0/develop/creating-artifacts/creating-endpoint-templates/", "Create an Endpoint Template")</f>
        <v>0</v>
      </c>
    </row>
    <row r="234" spans="1:1">
      <c r="A234">
        <f>HYPERLINK("https://mi.docs.wso2.com/en/4.4.0/develop/creating-artifacts/creating-sequence-templates/", "Create a Sequence Template")</f>
        <v>0</v>
      </c>
    </row>
    <row r="235" spans="1:1">
      <c r="A235">
        <f>HYPERLINK("https://mi.docs.wso2.com/en/4.4.0/develop/creating-artifacts/creating-reusable-sequences/", "Create a Reusable Sequence")</f>
        <v>0</v>
      </c>
    </row>
    <row r="236" spans="1:1">
      <c r="A236">
        <f>HYPERLINK("https://mi.docs.wso2.com/en/4.4.0/develop/creating-artifacts/creating-registry-resources/", "Create a Registry Resource")</f>
        <v>0</v>
      </c>
    </row>
    <row r="237" spans="1:1">
      <c r="A237">
        <f>HYPERLINK("https://mi.docs.wso2.com/en/4.4.0/develop/creating-artifacts/registry/creating-local-registry-entries/", "Create Local Registry Entries")</f>
        <v>0</v>
      </c>
    </row>
    <row r="238" spans="1:1">
      <c r="A238">
        <f>HYPERLINK("https://mi.docs.wso2.com/en/4.4.0/develop/creating-artifacts/data-services/creating-datasources/", "Create a Datasource")</f>
        <v>0</v>
      </c>
    </row>
    <row r="239" spans="1:1">
      <c r="A239">
        <f>HYPERLINK("https://mi.docs.wso2.com/en/4.4.0/develop/creating-artifacts/data-services/creating-data-services/", "Create a Data Service")</f>
        <v>0</v>
      </c>
    </row>
    <row r="240" spans="1:1">
      <c r="A240">
        <f>HYPERLINK("https://mi.docs.wso2.com/en/4.4.0/develop/creating-artifacts/adding-connectors/", "Adding Connectors")</f>
        <v>0</v>
      </c>
    </row>
    <row r="241" spans="1:1">
      <c r="A241">
        <f>HYPERLINK("https://mi.docs.wso2.com/en/4.4.0/develop/opening-artifacts/", "Opening Artifacts")</f>
        <v>0</v>
      </c>
    </row>
    <row r="242" spans="1:1">
      <c r="A242">
        <f>HYPERLINK("https://mi.docs.wso2.com/en/4.4.0/develop/customizations/creating-custom-inbound-endpoint/", "Create a Custom Inbound Endpoint")</f>
        <v>0</v>
      </c>
    </row>
    <row r="243" spans="1:1">
      <c r="A243">
        <f>HYPERLINK("https://mi.docs.wso2.com/en/4.4.0/develop/customizations/creating-custom-mediators/", "Create a Custom Mediator")</f>
        <v>0</v>
      </c>
    </row>
    <row r="244" spans="1:1">
      <c r="A244">
        <f>HYPERLINK("https://mi.docs.wso2.com/en/4.4.0/develop/customizations/creating-synapse-handlers/", "Create a Synapse Handler")</f>
        <v>0</v>
      </c>
    </row>
    <row r="245" spans="1:1">
      <c r="A245">
        <f>HYPERLINK("https://mi.docs.wso2.com/en/4.4.0/develop/customizations/creating-new-connector/", "Create a New Connector")</f>
        <v>0</v>
      </c>
    </row>
    <row r="246" spans="1:1">
      <c r="A246">
        <f>HYPERLINK("https://mi.docs.wso2.com/en/4.4.0/develop/customizations/creating-custom-task-scheduling/", "Customizing Task Scheduling")</f>
        <v>0</v>
      </c>
    </row>
    <row r="247" spans="1:1">
      <c r="A247">
        <f>HYPERLINK("https://mi.docs.wso2.com/en/4.4.0/develop/creating-artifacts/using-docker-secrets/", "Use Docker Secrets in Synapse Configurations")</f>
        <v>0</v>
      </c>
    </row>
    <row r="248" spans="1:1">
      <c r="A248">
        <f>HYPERLINK("https://mi.docs.wso2.com/en/4.4.0/develop/creating-artifacts/using-k8s-secrets/", "Use Kubernetes Secrets in Synapse Configurations")</f>
        <v>0</v>
      </c>
    </row>
    <row r="249" spans="1:1">
      <c r="A249">
        <f>HYPERLINK("https://mi.docs.wso2.com/en/4.4.0/develop/advanced-development/applying-security-to-an-api/", "Apply Security to a REST API")</f>
        <v>0</v>
      </c>
    </row>
    <row r="250" spans="1:1">
      <c r="A250">
        <f>HYPERLINK("https://mi.docs.wso2.com/en/4.4.0/develop/advanced-development/applying-security-to-a-proxy-service/", "Apply Security to a Proxy Service")</f>
        <v>0</v>
      </c>
    </row>
    <row r="251" spans="1:1">
      <c r="A251">
        <f>HYPERLINK("https://mi.docs.wso2.com/en/4.4.0/develop/creating-artifacts/data-services/securing-data-services/", "Apply Security to a Data Service")</f>
        <v>0</v>
      </c>
    </row>
    <row r="252" spans="1:1">
      <c r="A252">
        <f>HYPERLINK("https://mi.docs.wso2.com/en/4.4.0/develop/deploy-artifacts/", "Deploy Artifacts")</f>
        <v>0</v>
      </c>
    </row>
    <row r="253" spans="1:1">
      <c r="A253">
        <f>HYPERLINK("https://mi.docs.wso2.com/en/4.4.0/develop/using-remote-micro-integrator/", "Use a Remote Micro Integrator")</f>
        <v>0</v>
      </c>
    </row>
    <row r="254" spans="1:1">
      <c r="A254">
        <f>HYPERLINK("https://mi.docs.wso2.com/en/4.4.0/develop/creating-unit-test-suite/", "Create a Unit Test Suite")</f>
        <v>0</v>
      </c>
    </row>
    <row r="255" spans="1:1">
      <c r="A255">
        <f>HYPERLINK("https://mi.docs.wso2.com/en/4.4.0/develop/generate-docker-image/", "Generate Docker Images")</f>
        <v>0</v>
      </c>
    </row>
    <row r="256" spans="1:1">
      <c r="A256">
        <f>HYPERLINK("https://mi.docs.wso2.com/en/4.4.0/develop/debugging-mediation/", "Mediation Debugging")</f>
        <v>0</v>
      </c>
    </row>
    <row r="257" spans="1:1">
      <c r="A257">
        <f>HYPERLINK("https://mi.docs.wso2.com/en/4.4.0/develop/using-wire-logs/", "Use Wire Logs")</f>
        <v>0</v>
      </c>
    </row>
    <row r="258" spans="1:1">
      <c r="A258">
        <f>HYPERLINK("https://mi.docs.wso2.com/en/4.4.0/develop/monitoring-capp-level-logs/", "Monitor Composite Application-Level Logs")</f>
        <v>0</v>
      </c>
    </row>
    <row r="259" spans="1:1">
      <c r="A259">
        <f>HYPERLINK("https://mi.docs.wso2.com/en/4.4.0/develop/monitoring-service-level-logs/", "Monitor Service-Level Logs")</f>
        <v>0</v>
      </c>
    </row>
    <row r="260" spans="1:1">
      <c r="A260">
        <f>HYPERLINK("https://mi.docs.wso2.com/en/4.4.0/develop/monitoring-api-level-logs/", "Monitor API-Level Logs")</f>
        <v>0</v>
      </c>
    </row>
    <row r="261" spans="1:1">
      <c r="A261">
        <f>HYPERLINK("https://mi.docs.wso2.com/en/4.4.0/develop/endpoint-trace-logs/", "Endpoint Trace")</f>
        <v>0</v>
      </c>
    </row>
    <row r="262" spans="1:1">
      <c r="A262">
        <f>HYPERLINK("https://mi.docs.wso2.com/en/4.4.0/develop/injecting-parameters/", "Inject Parameters")</f>
        <v>0</v>
      </c>
    </row>
    <row r="263" spans="1:1">
      <c r="A263">
        <f>HYPERLINK("https://mi.docs.wso2.com/en/4.4.0/develop/advanced-development/changing-the-endpoint-of-deployed-service/", "Change the Endpoint of a Deployed Service")</f>
        <v>0</v>
      </c>
    </row>
    <row r="264" spans="1:1">
      <c r="A264">
        <f>HYPERLINK("https://mi.docs.wso2.com/en/4.4.0/develop/advanced-development/using-swagger-for-apis/", "Swagger Documents")</f>
        <v>0</v>
      </c>
    </row>
    <row r="265" spans="1:1">
      <c r="A265">
        <f>HYPERLINK("https://mi.docs.wso2.com/en/4.4.0/develop/advanced-development/extend-role-based-filtering-for-ds/", "Extend Role-based Data Filtering")</f>
        <v>0</v>
      </c>
    </row>
    <row r="266" spans="1:1">
      <c r="A266">
        <f>HYPERLINK("https://mi.docs.wso2.com/en/4.4.0/develop/advanced-development/dynamic-user-authentication/", "Dynamic User Authentication")</f>
        <v>0</v>
      </c>
    </row>
    <row r="267" spans="1:1">
      <c r="A267">
        <f>HYPERLINK("https://mi.docs.wso2.com/en/4.4.0/install-and-setup/install-and-setup-overview/", "Overview")</f>
        <v>0</v>
      </c>
    </row>
    <row r="268" spans="1:1">
      <c r="A268">
        <f>HYPERLINK("https://mi.docs.wso2.com/en/4.4.0/install-and-setup/install/installation-prerequisites/", "Installation Prerequisites")</f>
        <v>0</v>
      </c>
    </row>
    <row r="269" spans="1:1">
      <c r="A269">
        <f>HYPERLINK("https://mi.docs.wso2.com/en/4.4.0/install-and-setup/install/installing-mi/", "Install MI")</f>
        <v>0</v>
      </c>
    </row>
    <row r="270" spans="1:1">
      <c r="A270">
        <f>HYPERLINK("https://mi.docs.wso2.com/en/4.4.0/install-and-setup/install/running-the-mi/", "Run the MI Runtime")</f>
        <v>0</v>
      </c>
    </row>
    <row r="271" spans="1:1">
      <c r="A271">
        <f>HYPERLINK("https://mi.docs.wso2.com/en/4.4.0/install-and-setup/install/installing-mi-as-a-windows-service/", "Run the MI as a Windows Service")</f>
        <v>0</v>
      </c>
    </row>
    <row r="272" spans="1:1">
      <c r="A272">
        <f>HYPERLINK("https://mi.docs.wso2.com/en/4.4.0/install-and-setup/install/running-the-mi-in-automation-mode/", "Run the MI in Automation Mode")</f>
        <v>0</v>
      </c>
    </row>
    <row r="273" spans="1:1">
      <c r="A273">
        <f>HYPERLINK("https://mi.docs.wso2.com/en/4.4.0/install-and-setup/install/installing-integration-control-plane/", "Install the Integration Control Plane")</f>
        <v>0</v>
      </c>
    </row>
    <row r="274" spans="1:1">
      <c r="A274">
        <f>HYPERLINK("https://mi.docs.wso2.com/en/4.4.0/install-and-setup/install/running-the-integration-control-plane/", "Run the Integration Control Plane")</f>
        <v>0</v>
      </c>
    </row>
    <row r="275" spans="1:1">
      <c r="A275">
        <f>HYPERLINK("https://mi.docs.wso2.com/en/4.4.0/install-and-setup/install/running-the-integration-control-plane-as-windows-service/", "Run the Integration Control Plane as a Windows Service")</f>
        <v>0</v>
      </c>
    </row>
    <row r="276" spans="1:1">
      <c r="A276">
        <f>HYPERLINK("https://mi.docs.wso2.com/en/4.4.0/install-and-setup/install/installation-options/", "Installation Options")</f>
        <v>0</v>
      </c>
    </row>
    <row r="277" spans="1:1">
      <c r="A277">
        <f>HYPERLINK("https://mi.docs.wso2.com/en/4.4.0/install-and-setup/upgrading-wso2-mi/", "Migrate")</f>
        <v>0</v>
      </c>
    </row>
    <row r="278" spans="1:1">
      <c r="A278">
        <f>HYPERLINK("https://mi.docs.wso2.com/en/4.4.0/install-and-setup/setup/updating-mi/", "Update WSO2 Micro Integrator")</f>
        <v>0</v>
      </c>
    </row>
    <row r="279" spans="1:1">
      <c r="A279">
        <f>HYPERLINK("https://mi.docs.wso2.com/en/4.4.0/install-and-setup/setup/user-stores/setting-up-a-userstore-in-mi/", "Configure a User Store in MI")</f>
        <v>0</v>
      </c>
    </row>
    <row r="280" spans="1:1">
      <c r="A280">
        <f>HYPERLINK("https://mi.docs.wso2.com/en/4.4.0/install-and-setup/setup/databases/setting-up-mysql/", "MySQL Database")</f>
        <v>0</v>
      </c>
    </row>
    <row r="281" spans="1:1">
      <c r="A281">
        <f>HYPERLINK("https://mi.docs.wso2.com/en/4.4.0/install-and-setup/setup/databases/setting-up-mssql/", "MSSQL Database")</f>
        <v>0</v>
      </c>
    </row>
    <row r="282" spans="1:1">
      <c r="A282">
        <f>HYPERLINK("https://mi.docs.wso2.com/en/4.4.0/install-and-setup/setup/databases/setting-up-oracle/", "Oracle Database")</f>
        <v>0</v>
      </c>
    </row>
    <row r="283" spans="1:1">
      <c r="A283">
        <f>HYPERLINK("https://mi.docs.wso2.com/en/4.4.0/install-and-setup/setup/databases/setting-up-postgresql/", "PostgreSQL Database")</f>
        <v>0</v>
      </c>
    </row>
    <row r="284" spans="1:1">
      <c r="A284">
        <f>HYPERLINK("https://mi.docs.wso2.com/en/4.4.0/install-and-setup/setup/databases/setting-up-ibm-db2/", "IBM Database")</f>
        <v>0</v>
      </c>
    </row>
    <row r="285" spans="1:1">
      <c r="A285">
        <f>HYPERLINK("https://mi.docs.wso2.com/en/4.4.0/install-and-setup/setup/user-stores/configuring-secondary-user-stores/", "Configure Secondary User Stores")</f>
        <v>0</v>
      </c>
    </row>
    <row r="286" spans="1:1">
      <c r="A286">
        <f>HYPERLINK("https://mi.docs.wso2.com/en/4.4.0/install-and-setup/setup/deployment/file-based-registry/", "Configure the File-Based Registry")</f>
        <v>0</v>
      </c>
    </row>
    <row r="287" spans="1:1">
      <c r="A287">
        <f>HYPERLINK("https://mi.docs.wso2.com/en/4.4.0/install-and-setup/setup/user-stores/setting-up-a-userstore-in-icp/", "Configure a User Store in ICP")</f>
        <v>0</v>
      </c>
    </row>
    <row r="288" spans="1:1">
      <c r="A288">
        <f>HYPERLINK("https://mi.docs.wso2.com/en/4.4.0/install-and-setup/setup/security/creating-keystores/", "Create New Keystores")</f>
        <v>0</v>
      </c>
    </row>
    <row r="289" spans="1:1">
      <c r="A289">
        <f>HYPERLINK("https://mi.docs.wso2.com/en/4.4.0/install-and-setup/setup/security/importing-ssl-certificate/", "Add SSL certificates to keystores")</f>
        <v>0</v>
      </c>
    </row>
    <row r="290" spans="1:1">
      <c r="A290">
        <f>HYPERLINK("https://mi.docs.wso2.com/en/4.4.0/install-and-setup/setup/security/renewing-ca-signed-certificate-in-keystore/", "Renew a CA-signed Certificate")</f>
        <v>0</v>
      </c>
    </row>
    <row r="291" spans="1:1">
      <c r="A291">
        <f>HYPERLINK("https://mi.docs.wso2.com/en/4.4.0/install-and-setup/setup/security/configuring-keystores/", "Configure Keystores")</f>
        <v>0</v>
      </c>
    </row>
    <row r="292" spans="1:1">
      <c r="A292">
        <f>HYPERLINK("https://mi.docs.wso2.com/en/4.4.0/install-and-setup/setup/security/gdpr-ei/", "GDPR for the WSO2 Micro Integrator")</f>
        <v>0</v>
      </c>
    </row>
    <row r="293" spans="1:1">
      <c r="A293">
        <f>HYPERLINK("https://mi.docs.wso2.com/en/4.4.0/install-and-setup/setup/security/about-forgetme-tool/", "About the Identity Anonymization Tool")</f>
        <v>0</v>
      </c>
    </row>
    <row r="294" spans="1:1">
      <c r="A294">
        <f>HYPERLINK("https://mi.docs.wso2.com/en/4.4.0/install-and-setup/setup/security/encrypting-plain-text/", "Encrypt Secrets Using WSO2 Secure Vault")</f>
        <v>0</v>
      </c>
    </row>
    <row r="295" spans="1:1">
      <c r="A295">
        <f>HYPERLINK("https://mi.docs.wso2.com/en/4.4.0/install-and-setup/setup/security/using-hashicorp-secrets/", "Use Hashicorp Secrets")</f>
        <v>0</v>
      </c>
    </row>
    <row r="296" spans="1:1">
      <c r="A296">
        <f>HYPERLINK("https://mi.docs.wso2.com/en/4.4.0/install-and-setup/setup/security/single-key-encryption/", "Use Symmetric Encryption")</f>
        <v>0</v>
      </c>
    </row>
    <row r="297" spans="1:1">
      <c r="A297">
        <f>HYPERLINK("https://mi.docs.wso2.com/en/4.4.0/install-and-setup/setup/security/securing-management-api/", "Secure the Management API")</f>
        <v>0</v>
      </c>
    </row>
    <row r="298" spans="1:1">
      <c r="A298">
        <f>HYPERLINK("https://mi.docs.wso2.com/en/4.4.0/install-and-setup/setup/brokers/deploy-rabbitmq/", "Deploy RabbitMQ")</f>
        <v>0</v>
      </c>
    </row>
    <row r="299" spans="1:1">
      <c r="A299">
        <f>HYPERLINK("https://mi.docs.wso2.com/en/4.4.0/install-and-setup/setup/brokers/configure-with-rabbitmq/", "Connect to RabbitMQ")</f>
        <v>0</v>
      </c>
    </row>
    <row r="300" spans="1:1">
      <c r="A300">
        <f>HYPERLINK("https://mi.docs.wso2.com/en/4.4.0/install-and-setup/setup/brokers/configure-with-activemq/", "Connect to ActiveMQ")</f>
        <v>0</v>
      </c>
    </row>
    <row r="301" spans="1:1">
      <c r="A301">
        <f>HYPERLINK("https://mi.docs.wso2.com/en/4.4.0/install-and-setup/setup/brokers/configure-with-apache-artemis/", "Connect to Apache Artemis")</f>
        <v>0</v>
      </c>
    </row>
    <row r="302" spans="1:1">
      <c r="A302">
        <f>HYPERLINK("https://mi.docs.wso2.com/en/4.4.0/install-and-setup/setup/brokers/configure-with-hornetq/", "Connect to HornetQ")</f>
        <v>0</v>
      </c>
    </row>
    <row r="303" spans="1:1">
      <c r="A303">
        <f>HYPERLINK("https://mi.docs.wso2.com/en/4.4.0/install-and-setup/setup/brokers/configure-with-ibm-websphere-app-server/", "Connect to IBM Websphere App Server")</f>
        <v>0</v>
      </c>
    </row>
    <row r="304" spans="1:1">
      <c r="A304">
        <f>HYPERLINK("https://mi.docs.wso2.com/en/4.4.0/install-and-setup/setup/brokers/configure-with-ibm-webspheremq/", "Connect to IBM WebSphere MQ")</f>
        <v>0</v>
      </c>
    </row>
    <row r="305" spans="1:1">
      <c r="A305">
        <f>HYPERLINK("https://mi.docs.wso2.com/en/4.4.0/install-and-setup/setup/brokers/configure-with-jbossmq/", "Connect to JBoss MQ")</f>
        <v>0</v>
      </c>
    </row>
    <row r="306" spans="1:1">
      <c r="A306">
        <f>HYPERLINK("https://mi.docs.wso2.com/en/4.4.0/install-and-setup/setup/brokers/configure-with-msmq/", "Connect to MSMQ")</f>
        <v>0</v>
      </c>
    </row>
    <row r="307" spans="1:1">
      <c r="A307">
        <f>HYPERLINK("https://mi.docs.wso2.com/en/4.4.0/install-and-setup/setup/brokers/configure-with-swiftmq/", "Connect to Swift MQ")</f>
        <v>0</v>
      </c>
    </row>
    <row r="308" spans="1:1">
      <c r="A308">
        <f>HYPERLINK("https://mi.docs.wso2.com/en/4.4.0/install-and-setup/setup/brokers/configure-with-tibco-ems/", "Connect to TIBCO EMS")</f>
        <v>0</v>
      </c>
    </row>
    <row r="309" spans="1:1">
      <c r="A309">
        <f>HYPERLINK("https://mi.docs.wso2.com/en/4.4.0/install-and-setup/setup/brokers/configure-with-weblogic/", "Connect to Weblogic")</f>
        <v>0</v>
      </c>
    </row>
    <row r="310" spans="1:1">
      <c r="A310">
        <f>HYPERLINK("https://mi.docs.wso2.com/en/4.4.0/install-and-setup/setup/brokers/configure-with-wso2-mb/", "Connect to WSO2 MB")</f>
        <v>0</v>
      </c>
    </row>
    <row r="311" spans="1:1">
      <c r="A311">
        <f>HYPERLINK("https://mi.docs.wso2.com/en/4.4.0/install-and-setup/setup/brokers/configure-with-multiple-brokers/", "Connect to Multiple Brokers")</f>
        <v>0</v>
      </c>
    </row>
    <row r="312" spans="1:1">
      <c r="A312">
        <f>HYPERLINK("https://mi.docs.wso2.com/en/4.4.0/install-and-setup/setup/feature-configs/configuring-kafka/", "Kafka")</f>
        <v>0</v>
      </c>
    </row>
    <row r="313" spans="1:1">
      <c r="A313">
        <f>HYPERLINK("https://mi.docs.wso2.com/en/4.4.0/install-and-setup/setup/brokers/configure-with-azureservicebus/", "Azure Service Bus")</f>
        <v>0</v>
      </c>
    </row>
    <row r="314" spans="1:1">
      <c r="A314">
        <f>HYPERLINK("https://mi.docs.wso2.com/en/4.4.0/install-and-setup/setup/transport-configurations/configuring-transports/", "Transports")</f>
        <v>0</v>
      </c>
    </row>
    <row r="315" spans="1:1">
      <c r="A315">
        <f>HYPERLINK("https://mi.docs.wso2.com/en/4.4.0/install-and-setup/setup/transport-configurations/multi-https-transport/", "Multi-HTTPS Transport")</f>
        <v>0</v>
      </c>
    </row>
    <row r="316" spans="1:1">
      <c r="A316">
        <f>HYPERLINK("https://mi.docs.wso2.com/en/4.4.0/install-and-setup/setup/message-builders-formatters/message-builders-and-formatters/", "Message Builders and Formatters")</f>
        <v>0</v>
      </c>
    </row>
    <row r="317" spans="1:1">
      <c r="A317">
        <f>HYPERLINK("https://mi.docs.wso2.com/en/4.4.0/install-and-setup/setup/message-builders-formatters/message-relay/", "Message Relay")</f>
        <v>0</v>
      </c>
    </row>
    <row r="318" spans="1:1">
      <c r="A318">
        <f>HYPERLINK("https://mi.docs.wso2.com/en/4.4.0/install-and-setup/setup/dynamic-server-configurations/", "Manage Configurations across Environments")</f>
        <v>0</v>
      </c>
    </row>
    <row r="319" spans="1:1">
      <c r="A319">
        <f>HYPERLINK("https://mi.docs.wso2.com/en/4.4.0/install-and-setup/setup/deployment/setting-up-lb/", "Load Balancing")</f>
        <v>0</v>
      </c>
    </row>
    <row r="320" spans="1:1">
      <c r="A320">
        <f>HYPERLINK("https://mi.docs.wso2.com/en/4.4.0/install-and-setup/setup/configuring-proxy-servers/", "Configure a Proxy Server")</f>
        <v>0</v>
      </c>
    </row>
    <row r="321" spans="1:1">
      <c r="A321">
        <f>HYPERLINK("https://mi.docs.wso2.com/en/4.4.0/install-and-setup/setup/enabling-ssl-tunneling-thru-proxy-server/", "Enable SSL Tunneling through Proxy Server")</f>
        <v>0</v>
      </c>
    </row>
    <row r="322" spans="1:1">
      <c r="A322">
        <f>HYPERLINK("https://mi.docs.wso2.com/en/4.4.0/install-and-setup/setup/feature-configs/configuring-timestamp-conversion-for-rdbms/", "Time Stamp Conversion for RDBMS")</f>
        <v>0</v>
      </c>
    </row>
    <row r="323" spans="1:1">
      <c r="A323">
        <f>HYPERLINK("https://mi.docs.wso2.com/en/4.4.0/install-and-setup/setup/deployment/deploying-wso2-mi/", "Configure a Micro Integrator Cluster")</f>
        <v>0</v>
      </c>
    </row>
    <row r="324" spans="1:1">
      <c r="A324">
        <f>HYPERLINK("https://mi.docs.wso2.com/en/4.4.0/install-and-setup/setup/deployment/deployment-synchronization/", "Deployment Synchronization")</f>
        <v>0</v>
      </c>
    </row>
    <row r="325" spans="1:1">
      <c r="A325">
        <f>HYPERLINK("https://mi.docs.wso2.com/en/4.4.0/install-and-setup/setup/deployment/kubernetes-deployment-patterns/", "Micro Integrator Deployment Patterns on K8s")</f>
        <v>0</v>
      </c>
    </row>
    <row r="326" spans="1:1">
      <c r="A326">
        <f>HYPERLINK("https://mi.docs.wso2.com/en/4.4.0/install-and-setup/setup/deployment/kubernetes-deployment/", "Deploy the Micro Integrator on K8s")</f>
        <v>0</v>
      </c>
    </row>
    <row r="327" spans="1:1">
      <c r="A327">
        <f>HYPERLINK("https://mi.docs.wso2.com/en/4.4.0/install-and-setup/setup/kubernetes-operators/k8s-api-operator/manage-integrations/integration-deployments/", "Deploy Integrations Using the Operator")</f>
        <v>0</v>
      </c>
    </row>
    <row r="328" spans="1:1">
      <c r="A328">
        <f>HYPERLINK("https://mi.docs.wso2.com/en/4.4.0/install-and-setup/setup/deployment/deploying-micro-integrator-with-helm/", "Deploy Integrations Using Helm Resources")</f>
        <v>0</v>
      </c>
    </row>
    <row r="329" spans="1:1">
      <c r="A329">
        <f>HYPERLINK("https://mi.docs.wso2.com/en/4.4.0/install-and-setup/setup/deployment-best-practices/production-deployment-guidelines/", "Deployment Checklist")</f>
        <v>0</v>
      </c>
    </row>
    <row r="330" spans="1:1">
      <c r="A330">
        <f>HYPERLINK("https://mi.docs.wso2.com/en/4.4.0/install-and-setup/setup/deployment-best-practices/security-guidelines-for-production-deployment/", "Security Guidelines for a Production Deployment")</f>
        <v>0</v>
      </c>
    </row>
    <row r="331" spans="1:1">
      <c r="A331">
        <f>HYPERLINK("https://mi.docs.wso2.com/en/4.4.0/install-and-setup/setup/deployment-best-practices/basic-health-checks/", "Basic Health Checks")</f>
        <v>0</v>
      </c>
    </row>
    <row r="332" spans="1:1">
      <c r="A332">
        <f>HYPERLINK("https://mi.docs.wso2.com/en/4.4.0/install-and-setup/setup/deployment-best-practices/changing-the-hostname/", "Change the Hostname")</f>
        <v>0</v>
      </c>
    </row>
    <row r="333" spans="1:1">
      <c r="A333">
        <f>HYPERLINK("https://mi.docs.wso2.com/en/4.4.0/install-and-setup/setup/deployment-best-practices/changing-the-default-ports-with-offset/", "Change the Default Ports")</f>
        <v>0</v>
      </c>
    </row>
    <row r="334" spans="1:1">
      <c r="A334">
        <f>HYPERLINK("https://mi.docs.wso2.com/en/4.4.0/install-and-setup/setup/deployment-best-practices/backup-recovery/", "Backup and Recovery")</f>
        <v>0</v>
      </c>
    </row>
    <row r="335" spans="1:1">
      <c r="A335">
        <f>HYPERLINK("https://mi.docs.wso2.com/en/4.4.0/install-and-setup/setup/performance-tuning/tuning-jvm-performance/", "Tuning JVM Performance")</f>
        <v>0</v>
      </c>
    </row>
    <row r="336" spans="1:1">
      <c r="A336">
        <f>HYPERLINK("https://mi.docs.wso2.com/en/4.4.0/install-and-setup/setup/performance-tuning/network-os-performance/", "Tuning Network and OS Performance")</f>
        <v>0</v>
      </c>
    </row>
    <row r="337" spans="1:1">
      <c r="A337">
        <f>HYPERLINK("https://mi.docs.wso2.com/en/4.4.0/install-and-setup/setup/performance-tuning/jdbc-tuning/", "Tuning JDBC Configurations")</f>
        <v>0</v>
      </c>
    </row>
    <row r="338" spans="1:1">
      <c r="A338">
        <f>HYPERLINK("https://mi.docs.wso2.com/en/4.4.0/install-and-setup/setup/performance-tuning/http-transport-tuning/", "Tuning the HTTP Transport")</f>
        <v>0</v>
      </c>
    </row>
    <row r="339" spans="1:1">
      <c r="A339">
        <f>HYPERLINK("https://mi.docs.wso2.com/en/4.4.0/install-and-setup/setup/performance-tuning/jms-transport-tuning/", "Tuning the JMS Transport")</f>
        <v>0</v>
      </c>
    </row>
    <row r="340" spans="1:1">
      <c r="A340">
        <f>HYPERLINK("https://mi.docs.wso2.com/en/4.4.0/install-and-setup/setup/performance-tuning/tuning-the-vfs-transport/", "Tuning the VFS Transport")</f>
        <v>0</v>
      </c>
    </row>
    <row r="341" spans="1:1">
      <c r="A341">
        <f>HYPERLINK("https://mi.docs.wso2.com/en/4.4.0/install-and-setup/setup/performance-tuning/rabbitmq-transport-tuning/", "Tuning the RabbitMQ Transport")</f>
        <v>0</v>
      </c>
    </row>
    <row r="342" spans="1:1">
      <c r="A342">
        <f>HYPERLINK("https://mi.docs.wso2.com/en/4.4.0/install-and-setup/setup/performance-tuning/tuning-inbound-endpoints/", "Tuning the Inbound Endpoints")</f>
        <v>0</v>
      </c>
    </row>
    <row r="343" spans="1:1">
      <c r="A343">
        <f>HYPERLINK("https://mi.docs.wso2.com/en/4.4.0/install-and-setup/setup/deployment/integration-cicd-overview/", "CI/CD for Integrations - Overview")</f>
        <v>0</v>
      </c>
    </row>
    <row r="344" spans="1:1">
      <c r="A344">
        <f>HYPERLINK("https://mi.docs.wso2.com/en/4.4.0/install-and-setup/setup/deployment/mi-cicd-vm/", "Build a CI/CD Pipeline for Integrations (VM deployment)")</f>
        <v>0</v>
      </c>
    </row>
    <row r="345" spans="1:1">
      <c r="A345">
        <f>HYPERLINK("https://mi.docs.wso2.com/en/4.4.0/install-and-setup/setup/reference/common-runtime-and-configuration-artifacts/", "Common Runtime and Configuration Artifacts")</f>
        <v>0</v>
      </c>
    </row>
    <row r="346" spans="1:1">
      <c r="A346">
        <f>HYPERLINK("https://mi.docs.wso2.com/en/4.4.0/install-and-setup/setup/reference/default-product-ports/", "Default Product Ports")</f>
        <v>0</v>
      </c>
    </row>
    <row r="347" spans="1:1">
      <c r="A347">
        <f>HYPERLINK("https://mi.docs.wso2.com/en/4.4.0/install-and-setup/setup/reference/product-compatibility/", "Product Compatibility")</f>
        <v>0</v>
      </c>
    </row>
    <row r="348" spans="1:1">
      <c r="A348">
        <f>HYPERLINK("https://mi.docs.wso2.com/en/4.4.0/install-and-setup/setup/deployment-best-practices/performance-test-results-mi/", "Performance Test Results")</f>
        <v>0</v>
      </c>
    </row>
    <row r="349" spans="1:1">
      <c r="A349">
        <f>HYPERLINK("https://mi.docs.wso2.com/en/4.4.0/install-and-setup/setup/reference/supported-cipher-suites/", "Supported Cipher Suites")</f>
        <v>0</v>
      </c>
    </row>
    <row r="350" spans="1:1">
      <c r="A350">
        <f>HYPERLINK("https://mi.docs.wso2.com/en/4.4.0/observe-and-manage/observe-overview/", "Overview")</f>
        <v>0</v>
      </c>
    </row>
    <row r="351" spans="1:1">
      <c r="A351">
        <f>HYPERLINK("https://mi.docs.wso2.com/en/4.4.0/observe-and-manage/cloud-native-observability-overview/", "Overview")</f>
        <v>0</v>
      </c>
    </row>
    <row r="352" spans="1:1">
      <c r="A352">
        <f>HYPERLINK("https://mi.docs.wso2.com/en/4.4.0/observe-and-manage/setting-up-cloud-native-observability-on-a-vm/", "Getting Started Guide - VM Deployment")</f>
        <v>0</v>
      </c>
    </row>
    <row r="353" spans="1:1">
      <c r="A353">
        <f>HYPERLINK("https://mi.docs.wso2.com/en/4.4.0/observe-and-manage/setting-up-cloud-native-observability-in-kubernetes/", "Getting Started Guide - K8s Deployment")</f>
        <v>0</v>
      </c>
    </row>
    <row r="354" spans="1:1">
      <c r="A354">
        <f>HYPERLINK("https://mi.docs.wso2.com/en/4.4.0/observe-and-manage/viewing-cloud-native-observability-statistics/", "View Statistics")</f>
        <v>0</v>
      </c>
    </row>
    <row r="355" spans="1:1">
      <c r="A355">
        <f>HYPERLINK("https://mi.docs.wso2.com/en/4.4.0/observe-and-manage/classic-observability-logs/configuring-log4j2-properties/", "Configure Logs")</f>
        <v>0</v>
      </c>
    </row>
    <row r="356" spans="1:1">
      <c r="A356">
        <f>HYPERLINK("https://mi.docs.wso2.com/en/4.4.0/observe-and-manage/classic-observability-logs/enabling-logs-for-a-component/", "Enable Logs for a Component")</f>
        <v>0</v>
      </c>
    </row>
    <row r="357" spans="1:1">
      <c r="A357">
        <f>HYPERLINK("https://mi.docs.wso2.com/en/4.4.0/observe-and-manage/classic-observability-logs/monitoring-logs/", "Monitor Logs")</f>
        <v>0</v>
      </c>
    </row>
    <row r="358" spans="1:1">
      <c r="A358">
        <f>HYPERLINK("https://mi.docs.wso2.com/en/4.4.0/observe-and-manage/classic-observability-logs/monitoring-correlation-logs/", "Monitor Correlation Logs")</f>
        <v>0</v>
      </c>
    </row>
    <row r="359" spans="1:1">
      <c r="A359">
        <f>HYPERLINK("https://mi.docs.wso2.com/en/4.4.0/observe-and-manage/classic-observability-logs/monitoring-mi-audit-logs/", "Monitor Audit Logs")</f>
        <v>0</v>
      </c>
    </row>
    <row r="360" spans="1:1">
      <c r="A360">
        <f>HYPERLINK("https://mi.docs.wso2.com/en/4.4.0/observe-and-manage/classic-observability-traces/monitoring-with-opentelemetry-mi/", "OpenTelemetry")</f>
        <v>0</v>
      </c>
    </row>
    <row r="361" spans="1:1">
      <c r="A361">
        <f>HYPERLINK("https://mi.docs.wso2.com/en/4.4.0/observe-and-manage/classic-observability-metrics/jmx-monitoring/", "JMX Monitoring with JMX")</f>
        <v>0</v>
      </c>
    </row>
    <row r="362" spans="1:1">
      <c r="A362">
        <f>HYPERLINK("https://mi.docs.wso2.com/en/4.4.0/observe-and-manage/classic-observability-metrics/snmp-monitoring/", "SNMP Monitoring with SNMO")</f>
        <v>0</v>
      </c>
    </row>
    <row r="363" spans="1:1">
      <c r="A363">
        <f>HYPERLINK("https://mi.docs.wso2.com/en/4.4.0/observe-and-manage/classic-observability-tcp/starting-tcp-mon/", "Starting TCPMon")</f>
        <v>0</v>
      </c>
    </row>
    <row r="364" spans="1:1">
      <c r="A364">
        <f>HYPERLINK("https://mi.docs.wso2.com/en/4.4.0/observe-and-manage/classic-observability-tcp/message-monitoring-with-tcpmon/", "Message Monitoring with TCPMon")</f>
        <v>0</v>
      </c>
    </row>
    <row r="365" spans="1:1">
      <c r="A365">
        <f>HYPERLINK("https://mi.docs.wso2.com/en/4.4.0/observe-and-manage/classic-observability-tcp/other-usages-of-tcpmon/", "Other Usages of TCPMon")</f>
        <v>0</v>
      </c>
    </row>
    <row r="366" spans="1:1">
      <c r="A366">
        <f>HYPERLINK("https://mi.docs.wso2.com/en/4.4.0/mi-analytics/mi-elk-installation-guide/", "Setup")</f>
        <v>0</v>
      </c>
    </row>
    <row r="367" spans="1:1">
      <c r="A367">
        <f>HYPERLINK("https://mi.docs.wso2.com/en/4.4.0/mi-analytics/mi-elk-dashboards/", "Access the Dashboard")</f>
        <v>0</v>
      </c>
    </row>
    <row r="368" spans="1:1">
      <c r="A368">
        <f>HYPERLINK("https://mi.docs.wso2.com/en/4.4.0/administer/admin-overview/", "Administer Overview")</f>
        <v>0</v>
      </c>
    </row>
    <row r="369" spans="1:1">
      <c r="A369">
        <f>HYPERLINK("https://mi.docs.wso2.com/en/4.4.0/install-and-setup/setup/user-stores/managing-users/", "Manage Users and Roles")</f>
        <v>0</v>
      </c>
    </row>
    <row r="370" spans="1:1">
      <c r="A370">
        <f>HYPERLINK("https://mi.docs.wso2.com/en/4.4.0/administer/managing-users-and-roles/managing-user-stores/writing-a-custom-user-store-manager/", "Write a Custom User Store Manager")</f>
        <v>0</v>
      </c>
    </row>
    <row r="371" spans="1:1">
      <c r="A371">
        <f>HYPERLINK("https://mi.docs.wso2.com/en/4.4.0/observe-and-manage/working-with-integration-control-plane/", "Integration Control Plane")</f>
        <v>0</v>
      </c>
    </row>
    <row r="372" spans="1:1">
      <c r="A372">
        <f>HYPERLINK("https://mi.docs.wso2.com/en/4.4.0/observe-and-manage/managing-integrations-with-micli/", "Managing Integrations with MI CLI")</f>
        <v>0</v>
      </c>
    </row>
    <row r="373" spans="1:1">
      <c r="A373">
        <f>HYPERLINK("https://mi.docs.wso2.com/en/4.4.0/observe-and-manage/working-with-management-api/", "Management API")</f>
        <v>0</v>
      </c>
    </row>
    <row r="374" spans="1:1">
      <c r="A374">
        <f>HYPERLINK("https://mi.docs.wso2.com/en/4.4.0/administer/logging-and-monitoring/logging/managing-log-growth/", "Manage Log Growth")</f>
        <v>0</v>
      </c>
    </row>
    <row r="375" spans="1:1">
      <c r="A375">
        <f>HYPERLINK("https://mi.docs.wso2.com/en/4.4.0/administer/logging-and-monitoring/logging/masking-sensitive-information-in-logs/", "Masking Sensitive Information in Logs")</f>
        <v>0</v>
      </c>
    </row>
    <row r="376" spans="1:1">
      <c r="A376">
        <f>HYPERLINK("https://mi.docs.wso2.com/en/4.4.0/reference/config-catalog-mi/", "MI Configuration Catalog")</f>
        <v>0</v>
      </c>
    </row>
    <row r="377" spans="1:1">
      <c r="A377">
        <f>HYPERLINK("https://mi.docs.wso2.com/en/4.4.0/reference/config-catalog-integration-control-plane/", "Integration Control Plane Configuration Catalog")</f>
        <v>0</v>
      </c>
    </row>
    <row r="378" spans="1:1">
      <c r="A378">
        <f>HYPERLINK("https://mi.docs.wso2.com/en/4.4.0/reference/connectors/connectors-overview/", "Connectors Overview")</f>
        <v>0</v>
      </c>
    </row>
    <row r="379" spans="1:1">
      <c r="A379">
        <f>HYPERLINK("https://mi.docs.wso2.com/en/4.4.0/reference/connectors/why-connectors/", "When to Use Connectors")</f>
        <v>0</v>
      </c>
    </row>
    <row r="380" spans="1:1">
      <c r="A380">
        <f>HYPERLINK("https://mi.docs.wso2.com/en/4.4.0/reference/connectors/connector-usage/", "Connector Usage Guidelines")</f>
        <v>0</v>
      </c>
    </row>
    <row r="381" spans="1:1">
      <c r="A381">
        <f>HYPERLINK("https://mi.docs.wso2.com/en/4.4.0/reference/connectors/amazondynamodb-connector/amazondynamodb-connector-overview/", "Amazon DynamoDB Overview")</f>
        <v>0</v>
      </c>
    </row>
    <row r="382" spans="1:1">
      <c r="A382">
        <f>HYPERLINK("https://mi.docs.wso2.com/en/4.4.0/reference/connectors/amazondynamodb-connector/amazondynamodb-connector-configuration/", "Set up Amazon DynamoDB")</f>
        <v>0</v>
      </c>
    </row>
    <row r="383" spans="1:1">
      <c r="A383">
        <f>HYPERLINK("https://mi.docs.wso2.com/en/4.4.0/reference/connectors/amazondynamodb-connector/amazondynamodb-connector-example/", "Amazon DynamoDB Example")</f>
        <v>0</v>
      </c>
    </row>
    <row r="384" spans="1:1">
      <c r="A384">
        <f>HYPERLINK("https://mi.docs.wso2.com/en/4.4.0/reference/connectors/amazondynamodb-connector/amazondynamodb-connector-reference/", "Amazon DynamoDB Reference")</f>
        <v>0</v>
      </c>
    </row>
    <row r="385" spans="1:1">
      <c r="A385">
        <f>HYPERLINK("https://mi.docs.wso2.com/en/4.4.0/reference/connectors/amazonlambda-connector/amazonlambda-connector-overview/", "Amazon Lambda Overview")</f>
        <v>0</v>
      </c>
    </row>
    <row r="386" spans="1:1">
      <c r="A386">
        <f>HYPERLINK("https://mi.docs.wso2.com/en/4.4.0/reference/connectors/amazonlambda-connector/setting-up-amazonlambda/", "Set up Amazon Lambda")</f>
        <v>0</v>
      </c>
    </row>
    <row r="387" spans="1:1">
      <c r="A387">
        <f>HYPERLINK("https://mi.docs.wso2.com/en/4.4.0/reference/connectors/amazonlambda-connector/amazonlambda-connector-example/", "Amazon Lambda Example")</f>
        <v>0</v>
      </c>
    </row>
    <row r="388" spans="1:1">
      <c r="A388">
        <f>HYPERLINK("https://mi.docs.wso2.com/en/4.4.0/reference/connectors/amazonlambda-connector/amazonlambda-connector-config/", "Amazon Lambda Reference")</f>
        <v>0</v>
      </c>
    </row>
    <row r="389" spans="1:1">
      <c r="A389">
        <f>HYPERLINK("https://mi.docs.wso2.com/en/4.4.0/reference/connectors/amazons3-connector/amazons3-connector-overview/", "AmazonS3 Overview")</f>
        <v>0</v>
      </c>
    </row>
    <row r="390" spans="1:1">
      <c r="A390">
        <f>HYPERLINK("https://mi.docs.wso2.com/en/4.4.0/reference/connectors/amazons3-connector/amazons3-connector-config/", "Set up Amazon S3")</f>
        <v>0</v>
      </c>
    </row>
    <row r="391" spans="1:1">
      <c r="A391">
        <f>HYPERLINK("https://mi.docs.wso2.com/en/4.4.0/reference/connectors/amazons3-connector/amazons3-connector-example/", "AmazonS3 Example")</f>
        <v>0</v>
      </c>
    </row>
    <row r="392" spans="1:1">
      <c r="A392">
        <f>HYPERLINK("https://mi.docs.wso2.com/en/4.4.0/reference/connectors/amazons3-connector/amazons3-connector-reference/", "AmazonS3 Reference")</f>
        <v>0</v>
      </c>
    </row>
    <row r="393" spans="1:1">
      <c r="A393">
        <f>HYPERLINK("https://mi.docs.wso2.com/en/4.4.0/reference/connectors/amazons3-connector/1.x/amazons3-connector-1.x-config/", "Set up Amazon S3")</f>
        <v>0</v>
      </c>
    </row>
    <row r="394" spans="1:1">
      <c r="A394">
        <f>HYPERLINK("https://mi.docs.wso2.com/en/4.4.0/reference/connectors/amazons3-connector/1.x/amazons3-connector-1.x-example/", "AmazonS3 Example")</f>
        <v>0</v>
      </c>
    </row>
    <row r="395" spans="1:1">
      <c r="A395">
        <f>HYPERLINK("https://mi.docs.wso2.com/en/4.4.0/reference/connectors/amazons3-connector/1.x/amazons3-connector-1.x-reference/", "AmazonS3 Reference")</f>
        <v>0</v>
      </c>
    </row>
    <row r="396" spans="1:1">
      <c r="A396">
        <f>HYPERLINK("https://mi.docs.wso2.com/en/4.4.0/reference/connectors/amazonsqs-connector/amazonsqs-connector-overview/", "Amazon SQS Overview")</f>
        <v>0</v>
      </c>
    </row>
    <row r="397" spans="1:1">
      <c r="A397">
        <f>HYPERLINK("https://mi.docs.wso2.com/en/4.4.0/reference/connectors/amazonsqs-connector/2.x/amazonsqs-connector-2.x-example/", "Amazon SQS Example")</f>
        <v>0</v>
      </c>
    </row>
    <row r="398" spans="1:1">
      <c r="A398">
        <f>HYPERLINK("https://mi.docs.wso2.com/en/4.4.0/reference/connectors/amazonsqs-connector/2.x/amazonsqs-connector-2.x-reference/", "Amazon SQS Reference")</f>
        <v>0</v>
      </c>
    </row>
    <row r="399" spans="1:1">
      <c r="A399">
        <f>HYPERLINK("https://mi.docs.wso2.com/en/4.4.0/reference/connectors/amazonsqs-connector/1.x/amazonsqs-connector-1.x-example/", "Amazon SQS Example")</f>
        <v>0</v>
      </c>
    </row>
    <row r="400" spans="1:1">
      <c r="A400">
        <f>HYPERLINK("https://mi.docs.wso2.com/en/4.4.0/reference/connectors/amazonsqs-connector/1.x/amazonsqs-connector-1.x-reference/", "Amazon SQS Reference")</f>
        <v>0</v>
      </c>
    </row>
    <row r="401" spans="1:1">
      <c r="A401">
        <f>HYPERLINK("https://mi.docs.wso2.com/en/4.4.0/reference/connectors/amazonsqs-connector/amazonsqs-inbound-endpoint-example/", "Amazon SQS Inbound Endpoint Example")</f>
        <v>0</v>
      </c>
    </row>
    <row r="402" spans="1:1">
      <c r="A402">
        <f>HYPERLINK("https://mi.docs.wso2.com/en/4.4.0/reference/connectors/amazonsqs-connector/amazon-inbound-endpoint-1.0.x/amazonsqs-inbound-endpoint-reference-configuration/", "1.0.x")</f>
        <v>0</v>
      </c>
    </row>
    <row r="403" spans="1:1">
      <c r="A403">
        <f>HYPERLINK("https://mi.docs.wso2.com/en/4.4.0/reference/connectors/amazonsqs-connector/amazonsqs-inbound-endpoint-reference-configuration/", "1.1.x")</f>
        <v>0</v>
      </c>
    </row>
    <row r="404" spans="1:1">
      <c r="A404">
        <f>HYPERLINK("https://mi.docs.wso2.com/en/4.4.0/reference/connectors/bigquery-connector/bigquery-connector-overview/", "BigQuery Overview")</f>
        <v>0</v>
      </c>
    </row>
    <row r="405" spans="1:1">
      <c r="A405">
        <f>HYPERLINK("https://mi.docs.wso2.com/en/4.4.0/reference/connectors/bigquery-connector/bigquery-connector-configuration/", "Set up the BigQuery Environment")</f>
        <v>0</v>
      </c>
    </row>
    <row r="406" spans="1:1">
      <c r="A406">
        <f>HYPERLINK("https://mi.docs.wso2.com/en/4.4.0/reference/connectors/bigquery-connector/bigquery-connector-example/", "BigQuery Example")</f>
        <v>0</v>
      </c>
    </row>
    <row r="407" spans="1:1">
      <c r="A407">
        <f>HYPERLINK("https://mi.docs.wso2.com/en/4.4.0/reference/connectors/bigquery-connector/bigquery-connector-reference/", "BigQuery Reference")</f>
        <v>0</v>
      </c>
    </row>
    <row r="408" spans="1:1">
      <c r="A408">
        <f>HYPERLINK("https://mi.docs.wso2.com/en/4.4.0/reference/connectors/cdc-inbound-endpoint/cdc-inbound-endpoint-overview/", "CDC Inbound Endpoint Overview")</f>
        <v>0</v>
      </c>
    </row>
    <row r="409" spans="1:1">
      <c r="A409">
        <f>HYPERLINK("https://mi.docs.wso2.com/en/4.4.0/reference/connectors/cdc-inbound-endpoint/cdc-inbound-endpoint-example/", "CDC Inbound Endpoint Example")</f>
        <v>0</v>
      </c>
    </row>
    <row r="410" spans="1:1">
      <c r="A410">
        <f>HYPERLINK("https://mi.docs.wso2.com/en/4.4.0/reference/connectors/cdc-inbound-endpoint/cdc-inbound-endpoint-config/", "CDC Inbound Endpoint Reference")</f>
        <v>0</v>
      </c>
    </row>
    <row r="411" spans="1:1">
      <c r="A411">
        <f>HYPERLINK("https://mi.docs.wso2.com/en/4.4.0/reference/connectors/ceridiandayforce-connector/cerediandayforce-overview/", "Ceridian Dayforce Overview")</f>
        <v>0</v>
      </c>
    </row>
    <row r="412" spans="1:1">
      <c r="A412">
        <f>HYPERLINK("https://mi.docs.wso2.com/en/4.4.0/reference/connectors/ceridiandayforce-connector/ceridiandayforce-connector-config/", "Set up the Ceridian Dayforce Connector")</f>
        <v>0</v>
      </c>
    </row>
    <row r="413" spans="1:1">
      <c r="A413">
        <f>HYPERLINK("https://mi.docs.wso2.com/en/4.4.0/reference/connectors/ceridiandayforce-connector/ceridiandayforce-connector-example/", "Ceridian Dayforce Example")</f>
        <v>0</v>
      </c>
    </row>
    <row r="414" spans="1:1">
      <c r="A414">
        <f>HYPERLINK("https://mi.docs.wso2.com/en/4.4.0/reference/connectors/ceridiandayforce-connector/ceridiandayforce-connector-reference/", "Initializing")</f>
        <v>0</v>
      </c>
    </row>
    <row r="415" spans="1:1">
      <c r="A415">
        <f>HYPERLINK("https://mi.docs.wso2.com/en/4.4.0/reference/connectors/ceridiandayforce-connector/employee/", "Employee")</f>
        <v>0</v>
      </c>
    </row>
    <row r="416" spans="1:1">
      <c r="A416">
        <f>HYPERLINK("https://mi.docs.wso2.com/en/4.4.0/reference/connectors/ceridiandayforce-connector/configuration/orgunits/", "orgUnits")</f>
        <v>0</v>
      </c>
    </row>
    <row r="417" spans="1:1">
      <c r="A417">
        <f>HYPERLINK("https://mi.docs.wso2.com/en/4.4.0/reference/connectors/ceridiandayforce-connector/configuration/orgunitdetails/", "orgUnitDetails")</f>
        <v>0</v>
      </c>
    </row>
    <row r="418" spans="1:1">
      <c r="A418">
        <f>HYPERLINK("https://mi.docs.wso2.com/en/4.4.0/reference/connectors/ceridiandayforce-connector/employee-documents/listofdocuments/", "listOfDocuments")</f>
        <v>0</v>
      </c>
    </row>
    <row r="419" spans="1:1">
      <c r="A419">
        <f>HYPERLINK("https://mi.docs.wso2.com/en/4.4.0/reference/connectors/ceridiandayforce-connector/employee-documents/documentdetails/", "documentDetails")</f>
        <v>0</v>
      </c>
    </row>
    <row r="420" spans="1:1">
      <c r="A420">
        <f>HYPERLINK("https://mi.docs.wso2.com/en/4.4.0/reference/connectors/ceridiandayforce-connector/employee-employment-information/employeeclockdevicegroups/", "employeeClockDeviceGroups")</f>
        <v>0</v>
      </c>
    </row>
    <row r="421" spans="1:1">
      <c r="A421">
        <f>HYPERLINK("https://mi.docs.wso2.com/en/4.4.0/reference/connectors/ceridiandayforce-connector/employee-employment-information/employeecompensationsummary/", "employeeCompensationSummary")</f>
        <v>0</v>
      </c>
    </row>
    <row r="422" spans="1:1">
      <c r="A422">
        <f>HYPERLINK("https://mi.docs.wso2.com/en/4.4.0/reference/connectors/ceridiandayforce-connector/employee-employment-information/employeecourses/", "employeeCourses")</f>
        <v>0</v>
      </c>
    </row>
    <row r="423" spans="1:1">
      <c r="A423">
        <f>HYPERLINK("https://mi.docs.wso2.com/en/4.4.0/reference/connectors/ceridiandayforce-connector/employee-employment-information/employeeemploymentagreements/", "employeeEmploymentAgreements")</f>
        <v>0</v>
      </c>
    </row>
    <row r="424" spans="1:1">
      <c r="A424">
        <f>HYPERLINK("https://mi.docs.wso2.com/en/4.4.0/reference/connectors/ceridiandayforce-connector/employee-employment-information/employeeemploymentstatuses/", "employeeEmploymentStatuses")</f>
        <v>0</v>
      </c>
    </row>
    <row r="425" spans="1:1">
      <c r="A425">
        <f>HYPERLINK("https://mi.docs.wso2.com/en/4.4.0/reference/connectors/ceridiandayforce-connector/employee-employment-information/employeeemploymenttypes/", "employeeEmploymentTypes")</f>
        <v>0</v>
      </c>
    </row>
    <row r="426" spans="1:1">
      <c r="A426">
        <f>HYPERLINK("https://mi.docs.wso2.com/en/4.4.0/reference/connectors/ceridiandayforce-connector/employee-employment-information/employeehighlycompensatedemployees/", "employeeHighlyCompensatedEmployees")</f>
        <v>0</v>
      </c>
    </row>
    <row r="427" spans="1:1">
      <c r="A427">
        <f>HYPERLINK("https://mi.docs.wso2.com/en/4.4.0/reference/connectors/ceridiandayforce-connector/employee-employment-information/employeehrincidents/", "employeeHRIncidents")</f>
        <v>0</v>
      </c>
    </row>
    <row r="428" spans="1:1">
      <c r="A428">
        <f>HYPERLINK("https://mi.docs.wso2.com/en/4.4.0/reference/connectors/ceridiandayforce-connector/employee-employment-information/employeelabordefaults/", "employeeLaborDefaults")</f>
        <v>0</v>
      </c>
    </row>
    <row r="429" spans="1:1">
      <c r="A429">
        <f>HYPERLINK("https://mi.docs.wso2.com/en/4.4.0/reference/connectors/ceridiandayforce-connector/employee-employment-information/employeeonboardingpolicies/", "employeeOnboardingPolicies")</f>
        <v>0</v>
      </c>
    </row>
    <row r="430" spans="1:1">
      <c r="A430">
        <f>HYPERLINK("https://mi.docs.wso2.com/en/4.4.0/reference/connectors/ceridiandayforce-connector/employee-employment-information/employeeorginfo/", "employeeOrgInfo")</f>
        <v>0</v>
      </c>
    </row>
    <row r="431" spans="1:1">
      <c r="A431">
        <f>HYPERLINK("https://mi.docs.wso2.com/en/4.4.0/reference/connectors/ceridiandayforce-connector/employee-employment-information/employeepayadjustmentcodegroups/", "employeePayAdjustmentCodeGroups")</f>
        <v>0</v>
      </c>
    </row>
    <row r="432" spans="1:1">
      <c r="A432">
        <f>HYPERLINK("https://mi.docs.wso2.com/en/4.4.0/reference/connectors/ceridiandayforce-connector/employee-employment-information/employeepaygraderates/", "employeePayGradeRates")</f>
        <v>0</v>
      </c>
    </row>
    <row r="433" spans="1:1">
      <c r="A433">
        <f>HYPERLINK("https://mi.docs.wso2.com/en/4.4.0/reference/connectors/ceridiandayforce-connector/employee-employment-information/employeeperformanceratings/", "employeePerformanceRatings")</f>
        <v>0</v>
      </c>
    </row>
    <row r="434" spans="1:1">
      <c r="A434">
        <f>HYPERLINK("https://mi.docs.wso2.com/en/4.4.0/reference/connectors/ceridiandayforce-connector/employee-employment-information/employeeproperties/", "employeeProperties")</f>
        <v>0</v>
      </c>
    </row>
    <row r="435" spans="1:1">
      <c r="A435">
        <f>HYPERLINK("https://mi.docs.wso2.com/en/4.4.0/reference/connectors/ceridiandayforce-connector/employee-employment-information/employeeskills/", "employeeSkills")</f>
        <v>0</v>
      </c>
    </row>
    <row r="436" spans="1:1">
      <c r="A436">
        <f>HYPERLINK("https://mi.docs.wso2.com/en/4.4.0/reference/connectors/ceridiandayforce-connector/employee-employment-information/employeetrainingprograms/", "employeeTrainingPrograms")</f>
        <v>0</v>
      </c>
    </row>
    <row r="437" spans="1:1">
      <c r="A437">
        <f>HYPERLINK("https://mi.docs.wso2.com/en/4.4.0/reference/connectors/ceridiandayforce-connector/employee-employment-information/employeeunionmemberships/", "employeeUnionMemberships")</f>
        <v>0</v>
      </c>
    </row>
    <row r="438" spans="1:1">
      <c r="A438">
        <f>HYPERLINK("https://mi.docs.wso2.com/en/4.4.0/reference/connectors/ceridiandayforce-connector/employee-employment-information/employeeworkassignments/", "employeeWorkAssignments")</f>
        <v>0</v>
      </c>
    </row>
    <row r="439" spans="1:1">
      <c r="A439">
        <f>HYPERLINK("https://mi.docs.wso2.com/en/4.4.0/reference/connectors/ceridiandayforce-connector/employee-employment-information/employeeworkcontracts/", "employeeWorkContracts")</f>
        <v>0</v>
      </c>
    </row>
    <row r="440" spans="1:1">
      <c r="A440">
        <f>HYPERLINK("https://mi.docs.wso2.com/en/4.4.0/reference/connectors/ceridiandayforce-connector/employee-personal-information/employeeaddresses/", "employeeAddresses")</f>
        <v>0</v>
      </c>
    </row>
    <row r="441" spans="1:1">
      <c r="A441">
        <f>HYPERLINK("https://mi.docs.wso2.com/en/4.4.0/reference/connectors/ceridiandayforce-connector/employee-personal-information/employeecantaxes/", "employeeCANTaxes")</f>
        <v>0</v>
      </c>
    </row>
    <row r="442" spans="1:1">
      <c r="A442">
        <f>HYPERLINK("https://mi.docs.wso2.com/en/4.4.0/reference/connectors/ceridiandayforce-connector/employee-personal-information/employeecontacts/", "employeeContacts")</f>
        <v>0</v>
      </c>
    </row>
    <row r="443" spans="1:1">
      <c r="A443">
        <f>HYPERLINK("https://mi.docs.wso2.com/en/4.4.0/reference/connectors/ceridiandayforce-connector/employee-personal-information/employeedirectdeposits/", "employeeDirectDeposits")</f>
        <v>0</v>
      </c>
    </row>
    <row r="444" spans="1:1">
      <c r="A444">
        <f>HYPERLINK("https://mi.docs.wso2.com/en/4.4.0/reference/connectors/ceridiandayforce-connector/employee-personal-information/employeeemergencycontacts/", "employeeEmergencyContacts")</f>
        <v>0</v>
      </c>
    </row>
    <row r="445" spans="1:1">
      <c r="A445">
        <f>HYPERLINK("https://mi.docs.wso2.com/en/4.4.0/reference/connectors/ceridiandayforce-connector/employee-personal-information/employeehealthandwellness/", "employeeHealthandWellness")</f>
        <v>0</v>
      </c>
    </row>
    <row r="446" spans="1:1">
      <c r="A446">
        <f>HYPERLINK("https://mi.docs.wso2.com/en/4.4.0/reference/connectors/ceridiandayforce-connector/employee-personal-information/employeemaritalstatuses/", "employeeMaritalStatuses")</f>
        <v>0</v>
      </c>
    </row>
    <row r="447" spans="1:1">
      <c r="A447">
        <f>HYPERLINK("https://mi.docs.wso2.com/en/4.4.0/reference/connectors/ceridiandayforce-connector/employee-personal-information/employeeustaxes/", "employeeUSTaxes")</f>
        <v>0</v>
      </c>
    </row>
    <row r="448" spans="1:1">
      <c r="A448">
        <f>HYPERLINK("https://mi.docs.wso2.com/en/4.4.0/reference/connectors/ceridiandayforce-connector/employee-time-management/availability/", "availability")</f>
        <v>0</v>
      </c>
    </row>
    <row r="449" spans="1:1">
      <c r="A449">
        <f>HYPERLINK("https://mi.docs.wso2.com/en/4.4.0/reference/connectors/ceridiandayforce-connector/employee-time-management/employeepunches/", "employeePunches")</f>
        <v>0</v>
      </c>
    </row>
    <row r="450" spans="1:1">
      <c r="A450">
        <f>HYPERLINK("https://mi.docs.wso2.com/en/4.4.0/reference/connectors/ceridiandayforce-connector/employee-time-management/employeerawpunches/", "employeeRawPunches")</f>
        <v>0</v>
      </c>
    </row>
    <row r="451" spans="1:1">
      <c r="A451">
        <f>HYPERLINK("https://mi.docs.wso2.com/en/4.4.0/reference/connectors/ceridiandayforce-connector/employee-time-management/schedules/", "schedules")</f>
        <v>0</v>
      </c>
    </row>
    <row r="452" spans="1:1">
      <c r="A452">
        <f>HYPERLINK("https://mi.docs.wso2.com/en/4.4.0/reference/connectors/ceridiandayforce-connector/employee-time-management/timeawayfromwork/", "timeAwayFromWork")</f>
        <v>0</v>
      </c>
    </row>
    <row r="453" spans="1:1">
      <c r="A453">
        <f>HYPERLINK("https://mi.docs.wso2.com/en/4.4.0/reference/connectors/ceridiandayforce-connector/employment-eligibility-verification/i9order/", "i9Order")</f>
        <v>0</v>
      </c>
    </row>
    <row r="454" spans="1:1">
      <c r="A454">
        <f>HYPERLINK("https://mi.docs.wso2.com/en/4.4.0/reference/connectors/ceridiandayforce-connector/recruiting/jobpostings/", "jobPostings")</f>
        <v>0</v>
      </c>
    </row>
    <row r="455" spans="1:1">
      <c r="A455">
        <f>HYPERLINK("https://mi.docs.wso2.com/en/4.4.0/reference/connectors/ceridiandayforce-connector/reporting/reportmetadataforalistofreports/", "reportMetadataForAListOfReports")</f>
        <v>0</v>
      </c>
    </row>
    <row r="456" spans="1:1">
      <c r="A456">
        <f>HYPERLINK("https://mi.docs.wso2.com/en/4.4.0/reference/connectors/ceridiandayforce-connector/reporting/reportmetadataforaspecificreport/", "reportMetadataForASpecificReport")</f>
        <v>0</v>
      </c>
    </row>
    <row r="457" spans="1:1">
      <c r="A457">
        <f>HYPERLINK("https://mi.docs.wso2.com/en/4.4.0/reference/connectors/ceridiandayforce-connector/reporting/reports/", "reports")</f>
        <v>0</v>
      </c>
    </row>
    <row r="458" spans="1:1">
      <c r="A458">
        <f>HYPERLINK("https://mi.docs.wso2.com/en/4.4.0/reference/connectors/ceridiandayforce-connector/user-security-authority-and-management/documentmanagementsecuritygroups/", "documentManagementSecurityGroups")</f>
        <v>0</v>
      </c>
    </row>
    <row r="459" spans="1:1">
      <c r="A459">
        <f>HYPERLINK("https://mi.docs.wso2.com/en/4.4.0/reference/connectors/ceridiandayforce-connector/user-security-authority-and-management/employeelocations/", "employeeLocations")</f>
        <v>0</v>
      </c>
    </row>
    <row r="460" spans="1:1">
      <c r="A460">
        <f>HYPERLINK("https://mi.docs.wso2.com/en/4.4.0/reference/connectors/ceridiandayforce-connector/user-security-authority-and-management/employeemanagers/", "employeeManagers")</f>
        <v>0</v>
      </c>
    </row>
    <row r="461" spans="1:1">
      <c r="A461">
        <f>HYPERLINK("https://mi.docs.wso2.com/en/4.4.0/reference/connectors/ceridiandayforce-connector/user-security-authority-and-management/employeeroles/", "employeeRoles")</f>
        <v>0</v>
      </c>
    </row>
    <row r="462" spans="1:1">
      <c r="A462">
        <f>HYPERLINK("https://mi.docs.wso2.com/en/4.4.0/reference/connectors/ceridiandayforce-connector/user-security-authority-and-management/employeessoaccounts/", "employeeSSOAccounts")</f>
        <v>0</v>
      </c>
    </row>
    <row r="463" spans="1:1">
      <c r="A463">
        <f>HYPERLINK("https://mi.docs.wso2.com/en/4.4.0/reference/connectors/ceridiandayforce-connector/user-security-authority-and-management/employeeworkassignmentmanagers/", "employeeWorkAssignmentManagers")</f>
        <v>0</v>
      </c>
    </row>
    <row r="464" spans="1:1">
      <c r="A464">
        <f>HYPERLINK("https://mi.docs.wso2.com/en/4.4.0/reference/connectors/ceridiandayforce-connector/user-security-authority-and-management/userpayadjustmentcodegroups/", "userPayAdjustmentCodeGroups")</f>
        <v>0</v>
      </c>
    </row>
    <row r="465" spans="1:1">
      <c r="A465">
        <f>HYPERLINK("https://mi.docs.wso2.com/en/4.4.0/reference/connectors/csv-module/csv-module-config/", "CSV Module Reference")</f>
        <v>0</v>
      </c>
    </row>
    <row r="466" spans="1:1">
      <c r="A466">
        <f>HYPERLINK("https://mi.docs.wso2.com/en/4.4.0/reference/connectors/db-event-inbound-endpoint/db-event-inbound-endpoint-overview/", "Database Event Listener Overview")</f>
        <v>0</v>
      </c>
    </row>
    <row r="467" spans="1:1">
      <c r="A467">
        <f>HYPERLINK("https://mi.docs.wso2.com/en/4.4.0/reference/connectors/db-event-inbound-endpoint/db-event-inbound-endpoint-example/", "Database Event Listener Example")</f>
        <v>0</v>
      </c>
    </row>
    <row r="468" spans="1:1">
      <c r="A468">
        <f>HYPERLINK("https://mi.docs.wso2.com/en/4.4.0/reference/connectors/db-event-inbound-endpoint/db-event-inbound-endpoint-config/", "Database Event Listener Reference")</f>
        <v>0</v>
      </c>
    </row>
    <row r="469" spans="1:1">
      <c r="A469">
        <f>HYPERLINK("https://mi.docs.wso2.com/en/4.4.0/reference/connectors/documentum/documentum-overview/", "Documentum Overview")</f>
        <v>0</v>
      </c>
    </row>
    <row r="470" spans="1:1">
      <c r="A470">
        <f>HYPERLINK("https://mi.docs.wso2.com/en/4.4.0/reference/connectors/documentum/documentum-example/", "Documentum Example")</f>
        <v>0</v>
      </c>
    </row>
    <row r="471" spans="1:1">
      <c r="A471">
        <f>HYPERLINK("https://mi.docs.wso2.com/en/4.4.0/reference/connectors/documentum/documentum-reference/", "Documentum Reference")</f>
        <v>0</v>
      </c>
    </row>
    <row r="472" spans="1:1">
      <c r="A472">
        <f>HYPERLINK("https://mi.docs.wso2.com/en/4.4.0/reference/connectors/email-connector/email-connector-overview/", "Email Connector Overview")</f>
        <v>0</v>
      </c>
    </row>
    <row r="473" spans="1:1">
      <c r="A473">
        <f>HYPERLINK("https://mi.docs.wso2.com/en/4.4.0/reference/connectors/email-connector/email-connector-example/", "Email Connector Example")</f>
        <v>0</v>
      </c>
    </row>
    <row r="474" spans="1:1">
      <c r="A474">
        <f>HYPERLINK("https://mi.docs.wso2.com/en/4.4.0/reference/connectors/email-connector/email-connector-config/", "Email Connector Reference")</f>
        <v>0</v>
      </c>
    </row>
    <row r="475" spans="1:1">
      <c r="A475">
        <f>HYPERLINK("https://mi.docs.wso2.com/en/4.4.0/reference/connectors/jira-connector/jira-connector-overview/", "Jira Connector Overview")</f>
        <v>0</v>
      </c>
    </row>
    <row r="476" spans="1:1">
      <c r="A476">
        <f>HYPERLINK("https://mi.docs.wso2.com/en/4.4.0/reference/connectors/jira-connector/jira-connector-example/", "Jira Connector Example")</f>
        <v>0</v>
      </c>
    </row>
    <row r="477" spans="1:1">
      <c r="A477">
        <f>HYPERLINK("https://mi.docs.wso2.com/en/4.4.0/reference/connectors/jira-connector/jira-connector-config/", "Jira Connector Reference")</f>
        <v>0</v>
      </c>
    </row>
    <row r="478" spans="1:1">
      <c r="A478">
        <f>HYPERLINK("https://mi.docs.wso2.com/en/4.4.0/reference/connectors/facebook-ads-connector/facebook-ads-overview/", "Facebook Ads Overview")</f>
        <v>0</v>
      </c>
    </row>
    <row r="479" spans="1:1">
      <c r="A479">
        <f>HYPERLINK("https://mi.docs.wso2.com/en/4.4.0/reference/connectors/facebook-ads-connector/facebook-ads-configuration/", "Facebook Ads Reference")</f>
        <v>0</v>
      </c>
    </row>
    <row r="480" spans="1:1">
      <c r="A480">
        <f>HYPERLINK("https://mi.docs.wso2.com/en/4.4.0/reference/connectors/sharepoint-connector/sharepoint-overview/", "Sharepoint Overview")</f>
        <v>0</v>
      </c>
    </row>
    <row r="481" spans="1:1">
      <c r="A481">
        <f>HYPERLINK("https://mi.docs.wso2.com/en/4.4.0/reference/connectors/sharepoint-connector/sharepoint-configuration/", "Sharepoint Reference")</f>
        <v>0</v>
      </c>
    </row>
    <row r="482" spans="1:1">
      <c r="A482">
        <f>HYPERLINK("https://mi.docs.wso2.com/en/4.4.0/reference/connectors/fhir-connector/fhir-connector-overview/", "FHIR Overview")</f>
        <v>0</v>
      </c>
    </row>
    <row r="483" spans="1:1">
      <c r="A483">
        <f>HYPERLINK("https://mi.docs.wso2.com/en/4.4.0/reference/connectors/fhir-connector/fhir-connector-example/", "FHIR Example")</f>
        <v>0</v>
      </c>
    </row>
    <row r="484" spans="1:1">
      <c r="A484">
        <f>HYPERLINK("https://mi.docs.wso2.com/en/4.4.0/reference/connectors/fhir-connector/fhir-connector-config/", "FHIR Reference")</f>
        <v>0</v>
      </c>
    </row>
    <row r="485" spans="1:1">
      <c r="A485">
        <f>HYPERLINK("https://mi.docs.wso2.com/en/4.4.0/reference/connectors/file-connector/file-connector-overview/", "File Connector Overview")</f>
        <v>0</v>
      </c>
    </row>
    <row r="486" spans="1:1">
      <c r="A486">
        <f>HYPERLINK("https://mi.docs.wso2.com/en/4.4.0/reference/connectors/file-connector/file-connector-example/", "File Connector Example")</f>
        <v>0</v>
      </c>
    </row>
    <row r="487" spans="1:1">
      <c r="A487">
        <f>HYPERLINK("https://mi.docs.wso2.com/en/4.4.0/reference/connectors/file-connector/file-connector-config/", "File Connector Reference")</f>
        <v>0</v>
      </c>
    </row>
    <row r="488" spans="1:1">
      <c r="A488">
        <f>HYPERLINK("https://mi.docs.wso2.com/en/4.4.0/reference/connectors/file-connector/3.x/file-connector-3.x-example/", "File Connector Example")</f>
        <v>0</v>
      </c>
    </row>
    <row r="489" spans="1:1">
      <c r="A489">
        <f>HYPERLINK("https://mi.docs.wso2.com/en/4.4.0/reference/connectors/file-connector/3.x/file-connector-3.x-config/", "File Connector Reference")</f>
        <v>0</v>
      </c>
    </row>
    <row r="490" spans="1:1">
      <c r="A490">
        <f>HYPERLINK("https://mi.docs.wso2.com/en/4.4.0/reference/connectors/gmail-connector/gmail-connector-overview/", "Gmail Overview")</f>
        <v>0</v>
      </c>
    </row>
    <row r="491" spans="1:1">
      <c r="A491">
        <f>HYPERLINK("https://mi.docs.wso2.com/en/4.4.0/reference/connectors/gmail-connector/gmail-connector-example/", "Gmail Example")</f>
        <v>0</v>
      </c>
    </row>
    <row r="492" spans="1:1">
      <c r="A492">
        <f>HYPERLINK("https://mi.docs.wso2.com/en/4.4.0/reference/connectors/gmail-connector/gmail-connector-config/", "Gmail Reference")</f>
        <v>0</v>
      </c>
    </row>
    <row r="493" spans="1:1">
      <c r="A493">
        <f>HYPERLINK("https://mi.docs.wso2.com/en/4.4.0/reference/connectors/gmail-connector/configuring-gmail-api/", "Gmail Configuration")</f>
        <v>0</v>
      </c>
    </row>
    <row r="494" spans="1:1">
      <c r="A494">
        <f>HYPERLINK("https://mi.docs.wso2.com/en/4.4.0/reference/connectors/google-ads-connector/google-ads-overview/", "Google Ads Overview")</f>
        <v>0</v>
      </c>
    </row>
    <row r="495" spans="1:1">
      <c r="A495">
        <f>HYPERLINK("https://mi.docs.wso2.com/en/4.4.0/reference/connectors/google-ads-connector/google-ads-configuration/", "Google Ads Reference")</f>
        <v>0</v>
      </c>
    </row>
    <row r="496" spans="1:1">
      <c r="A496">
        <f>HYPERLINK("https://mi.docs.wso2.com/en/4.4.0/reference/connectors/google-firebase-connector/google-firebase-overview/", "Google Firebase Overview")</f>
        <v>0</v>
      </c>
    </row>
    <row r="497" spans="1:1">
      <c r="A497">
        <f>HYPERLINK("https://mi.docs.wso2.com/en/4.4.0/reference/connectors/google-firebase-connector/google-firebase-setup/", "Set up Google Firebase")</f>
        <v>0</v>
      </c>
    </row>
    <row r="498" spans="1:1">
      <c r="A498">
        <f>HYPERLINK("https://mi.docs.wso2.com/en/4.4.0/reference/connectors/google-firebase-connector/google-firebase-connector-example/", "Google Firebase Example")</f>
        <v>0</v>
      </c>
    </row>
    <row r="499" spans="1:1">
      <c r="A499">
        <f>HYPERLINK("https://mi.docs.wso2.com/en/4.4.0/reference/connectors/google-firebase-connector/google-firebase-configuration/", "Google Firebase Reference")</f>
        <v>0</v>
      </c>
    </row>
    <row r="500" spans="1:1">
      <c r="A500">
        <f>HYPERLINK("https://mi.docs.wso2.com/en/4.4.0/reference/connectors/google-pubsub-connector/googlepubsub-connector-overview/", "Google PubSub Overview")</f>
        <v>0</v>
      </c>
    </row>
    <row r="501" spans="1:1">
      <c r="A501">
        <f>HYPERLINK("https://mi.docs.wso2.com/en/4.4.0/reference/connectors/google-pubsub-connector/googlepubsub-connector-configuration/", "Set up the Google PubSub Environment")</f>
        <v>0</v>
      </c>
    </row>
    <row r="502" spans="1:1">
      <c r="A502">
        <f>HYPERLINK("https://mi.docs.wso2.com/en/4.4.0/reference/connectors/google-pubsub-connector/googlepubsub-connector-example/", "Google PubSub Example")</f>
        <v>0</v>
      </c>
    </row>
    <row r="503" spans="1:1">
      <c r="A503">
        <f>HYPERLINK("https://mi.docs.wso2.com/en/4.4.0/reference/connectors/google-pubsub-connector/googlepubsub-connector-reference/", "Google PubSub Reference")</f>
        <v>0</v>
      </c>
    </row>
    <row r="504" spans="1:1">
      <c r="A504">
        <f>HYPERLINK("https://mi.docs.wso2.com/en/4.4.0/reference/connectors/google-spreadsheet-connector/google-spreadsheet-overview/", "Google Spreadsheet Overview")</f>
        <v>0</v>
      </c>
    </row>
    <row r="505" spans="1:1">
      <c r="A505">
        <f>HYPERLINK("https://mi.docs.wso2.com/en/4.4.0/reference/connectors/google-spreadsheet-connector/google-spreadsheet-connector-example/", "Google Spreadsheet Example")</f>
        <v>0</v>
      </c>
    </row>
    <row r="506" spans="1:1">
      <c r="A506">
        <f>HYPERLINK("https://mi.docs.wso2.com/en/4.4.0/reference/connectors/google-spreadsheet-connector/get-credentials-for-google-spreadsheet/", "Get Credentials for Google Spreadsheet")</f>
        <v>0</v>
      </c>
    </row>
    <row r="507" spans="1:1">
      <c r="A507">
        <f>HYPERLINK("https://mi.docs.wso2.com/en/4.4.0/reference/connectors/google-spreadsheet-connector/google-spreadsheet-connector-config/", "Google Spreadsheet Reference")</f>
        <v>0</v>
      </c>
    </row>
    <row r="508" spans="1:1">
      <c r="A508">
        <f>HYPERLINK("https://mi.docs.wso2.com/en/4.4.0/reference/connectors/iso8583-connector/iso8583-connector-overview/", "ISO8583 Overview")</f>
        <v>0</v>
      </c>
    </row>
    <row r="509" spans="1:1">
      <c r="A509">
        <f>HYPERLINK("https://mi.docs.wso2.com/en/4.4.0/reference/connectors/iso8583-connector/iso8583-connector-configuration/", "Set up ISO8583")</f>
        <v>0</v>
      </c>
    </row>
    <row r="510" spans="1:1">
      <c r="A510">
        <f>HYPERLINK("https://mi.docs.wso2.com/en/4.4.0/reference/connectors/iso8583-connector/iso8583-connector-example/", "ISO8583 Example")</f>
        <v>0</v>
      </c>
    </row>
    <row r="511" spans="1:1">
      <c r="A511">
        <f>HYPERLINK("https://mi.docs.wso2.com/en/4.4.0/reference/connectors/iso8583-connector/iso8583-connector-reference/", "ISO8583 Reference")</f>
        <v>0</v>
      </c>
    </row>
    <row r="512" spans="1:1">
      <c r="A512">
        <f>HYPERLINK("https://mi.docs.wso2.com/en/4.4.0/reference/connectors/iso8583-connector/iso8583-inbound-endpoint-example/", "ISO8583 Inbound Endpoint Example")</f>
        <v>0</v>
      </c>
    </row>
    <row r="513" spans="1:1">
      <c r="A513">
        <f>HYPERLINK("https://mi.docs.wso2.com/en/4.4.0/reference/connectors/iso8583-connector/iso8583-inbound-endpoint-config/", "ISO8583 Inbound Endpoint Reference")</f>
        <v>0</v>
      </c>
    </row>
    <row r="514" spans="1:1">
      <c r="A514">
        <f>HYPERLINK("https://mi.docs.wso2.com/en/4.4.0/reference/connectors/kafka-connector/kafka-connector-overview/", "Kafka Overview")</f>
        <v>0</v>
      </c>
    </row>
    <row r="515" spans="1:1">
      <c r="A515">
        <f>HYPERLINK("https://mi.docs.wso2.com/en/4.4.0/reference/connectors/kafka-connector/setting-up-kafka/", "Set up Kafka")</f>
        <v>0</v>
      </c>
    </row>
    <row r="516" spans="1:1">
      <c r="A516">
        <f>HYPERLINK("https://mi.docs.wso2.com/en/4.4.0/reference/connectors/kafka-connector/enabling-security-for-kafka/", "Enable Security for Kafka")</f>
        <v>0</v>
      </c>
    </row>
    <row r="517" spans="1:1">
      <c r="A517">
        <f>HYPERLINK("https://mi.docs.wso2.com/en/4.4.0/reference/connectors/kafka-connector/kafka-connector-producer-example/", "Kafka Example")</f>
        <v>0</v>
      </c>
    </row>
    <row r="518" spans="1:1">
      <c r="A518">
        <f>HYPERLINK("https://mi.docs.wso2.com/en/4.4.0/reference/connectors/kafka-connector/kafka-connector-avro-producer-example/", "Kafka Avro Message Example")</f>
        <v>0</v>
      </c>
    </row>
    <row r="519" spans="1:1">
      <c r="A519">
        <f>HYPERLINK("https://mi.docs.wso2.com/en/4.4.0/reference/connectors/kafka-connector/kafka-connector-config/", "Kafka Connector Reference")</f>
        <v>0</v>
      </c>
    </row>
    <row r="520" spans="1:1">
      <c r="A520">
        <f>HYPERLINK("https://mi.docs.wso2.com/en/4.4.0/reference/connectors/kafka-connector/3.0.x/kafka-connector-config/", "Kafka Connector Reference")</f>
        <v>0</v>
      </c>
    </row>
    <row r="521" spans="1:1">
      <c r="A521">
        <f>HYPERLINK("https://mi.docs.wso2.com/en/4.4.0/reference/connectors/kafka-connector/kafka-inbound-endpoint-example/", "Kafka Inbound Endpoint Example")</f>
        <v>0</v>
      </c>
    </row>
    <row r="522" spans="1:1">
      <c r="A522">
        <f>HYPERLINK("https://mi.docs.wso2.com/en/4.4.0/reference/connectors/kafka-connector/kafka-inbound-endpoint-config/", "Kafka Inbound Endpoint Reference")</f>
        <v>0</v>
      </c>
    </row>
    <row r="523" spans="1:1">
      <c r="A523">
        <f>HYPERLINK("https://mi.docs.wso2.com/en/4.4.0/reference/connectors/ldap-connector/ldap-connector-overview/", "LDAP Overview")</f>
        <v>0</v>
      </c>
    </row>
    <row r="524" spans="1:1">
      <c r="A524">
        <f>HYPERLINK("https://mi.docs.wso2.com/en/4.4.0/reference/connectors/ldap-connector/setting-up-ldap/", "Set up an LDAP Server")</f>
        <v>0</v>
      </c>
    </row>
    <row r="525" spans="1:1">
      <c r="A525">
        <f>HYPERLINK("https://mi.docs.wso2.com/en/4.4.0/reference/connectors/ldap-connector/ldap-connector-example/", "LDAP Example")</f>
        <v>0</v>
      </c>
    </row>
    <row r="526" spans="1:1">
      <c r="A526">
        <f>HYPERLINK("https://mi.docs.wso2.com/en/4.4.0/reference/connectors/ldap-connector/ldap-server-configuration/", "LDAP Reference")</f>
        <v>0</v>
      </c>
    </row>
    <row r="527" spans="1:1">
      <c r="A527">
        <f>HYPERLINK("https://mi.docs.wso2.com/en/4.4.0/reference/connectors/microsoft-azure-storage-connector/microsoft-azure-overview/", "Microsoft Azure Storage Overview")</f>
        <v>0</v>
      </c>
    </row>
    <row r="528" spans="1:1">
      <c r="A528">
        <f>HYPERLINK("https://mi.docs.wso2.com/en/4.4.0/reference/connectors/microsoft-azure-storage-connector/microsoft-azure-storage-configuration/", "Set up Microsoft Azure Storage")</f>
        <v>0</v>
      </c>
    </row>
    <row r="529" spans="1:1">
      <c r="A529">
        <f>HYPERLINK("https://mi.docs.wso2.com/en/4.4.0/reference/connectors/microsoft-azure-storage-connector/2.x/microsoft-azure-storage-connector-example/", "Microsoft Azure Storage Example")</f>
        <v>0</v>
      </c>
    </row>
    <row r="530" spans="1:1">
      <c r="A530">
        <f>HYPERLINK("https://mi.docs.wso2.com/en/4.4.0/reference/connectors/microsoft-azure-storage-connector/2.x/microsoft-azure-storage-reference/", "Microsoft Azure Storage Reference")</f>
        <v>0</v>
      </c>
    </row>
    <row r="531" spans="1:1">
      <c r="A531">
        <f>HYPERLINK("https://mi.docs.wso2.com/en/4.4.0/reference/connectors/microsoft-azure-storage-connector/1.x/microsoft-azure-storage-reference/", "Microsoft Azure Storage Reference")</f>
        <v>0</v>
      </c>
    </row>
    <row r="532" spans="1:1">
      <c r="A532">
        <f>HYPERLINK("https://mi.docs.wso2.com/en/4.4.0/reference/connectors/mongodb-connector/mongodb-connector-overview/", "MongoDB Connector Overview")</f>
        <v>0</v>
      </c>
    </row>
    <row r="533" spans="1:1">
      <c r="A533">
        <f>HYPERLINK("https://mi.docs.wso2.com/en/4.4.0/reference/connectors/mongodb-connector/mongodb-connector-example/", "MongoDB Connector Example")</f>
        <v>0</v>
      </c>
    </row>
    <row r="534" spans="1:1">
      <c r="A534">
        <f>HYPERLINK("https://mi.docs.wso2.com/en/4.4.0/reference/connectors/mongodb-connector/mongodb-connector-config/", "MongoDB Connector Reference")</f>
        <v>0</v>
      </c>
    </row>
    <row r="535" spans="1:1">
      <c r="A535">
        <f>HYPERLINK("https://mi.docs.wso2.com/en/4.4.0/reference/connectors/redis-connector/redis-connector-overview/", "Redis Overview")</f>
        <v>0</v>
      </c>
    </row>
    <row r="536" spans="1:1">
      <c r="A536">
        <f>HYPERLINK("https://mi.docs.wso2.com/en/4.4.0/reference/connectors/redis-connector/redis-connector-configuration/", "Set up the Environment")</f>
        <v>0</v>
      </c>
    </row>
    <row r="537" spans="1:1">
      <c r="A537">
        <f>HYPERLINK("https://mi.docs.wso2.com/en/4.4.0/reference/connectors/redis-connector/redis-connector-example/", "Redis Example")</f>
        <v>0</v>
      </c>
    </row>
    <row r="538" spans="1:1">
      <c r="A538">
        <f>HYPERLINK("https://mi.docs.wso2.com/en/4.4.0/reference/connectors/redis-connector/2.7.x/redis-connector-reference/", "Redis Connector Reference")</f>
        <v>0</v>
      </c>
    </row>
    <row r="539" spans="1:1">
      <c r="A539">
        <f>HYPERLINK("https://mi.docs.wso2.com/en/4.4.0/reference/connectors/redis-connector/2.4.x/redis-connector-reference/", "Redis Connector Reference")</f>
        <v>0</v>
      </c>
    </row>
    <row r="540" spans="1:1">
      <c r="A540">
        <f>HYPERLINK("https://mi.docs.wso2.com/en/4.4.0/reference/connectors/redis-connector/2.2.x/redis-connector-reference/", "Redis Connector Reference")</f>
        <v>0</v>
      </c>
    </row>
    <row r="541" spans="1:1">
      <c r="A541">
        <f>HYPERLINK("https://mi.docs.wso2.com/en/4.4.0/reference/connectors/redis-connector/2.1.x/redis-connector-reference/", "Redis Connector Reference")</f>
        <v>0</v>
      </c>
    </row>
    <row r="542" spans="1:1">
      <c r="A542">
        <f>HYPERLINK("https://mi.docs.wso2.com/en/4.4.0/reference/connectors/redis-connector/1.0.1/redis-connector-reference/", "Redis Connector Reference")</f>
        <v>0</v>
      </c>
    </row>
    <row r="543" spans="1:1">
      <c r="A543">
        <f>HYPERLINK("https://mi.docs.wso2.com/en/4.4.0/reference/connectors/salesforce-connectors/sf-overview/", "Salesforce Overview")</f>
        <v>0</v>
      </c>
    </row>
    <row r="544" spans="1:1">
      <c r="A544">
        <f>HYPERLINK("https://mi.docs.wso2.com/en/4.4.0/includes/reference/connectors/salesforce-connectors/sf-access-token-generation/", "Salesforce Access Token Generation")</f>
        <v>0</v>
      </c>
    </row>
    <row r="545" spans="1:1">
      <c r="A545">
        <f>HYPERLINK("https://mi.docs.wso2.com/en/4.4.0/reference/connectors/salesforce-connectors/sf-inbound-endpoint-configuration/", "Set up the PushTopic in Salesforce")</f>
        <v>0</v>
      </c>
    </row>
    <row r="546" spans="1:1">
      <c r="A546">
        <f>HYPERLINK("https://mi.docs.wso2.com/en/4.4.0/reference/connectors/salesforce-connectors/sf-rest-connector-example/", "Salesforce REST API Example")</f>
        <v>0</v>
      </c>
    </row>
    <row r="547" spans="1:1">
      <c r="A547">
        <f>HYPERLINK("https://mi.docs.wso2.com/en/4.4.0/reference/connectors/salesforce-connectors/sf-rest-connector-config/", "Salesforce REST API Reference")</f>
        <v>0</v>
      </c>
    </row>
    <row r="548" spans="1:1">
      <c r="A548">
        <f>HYPERLINK("https://mi.docs.wso2.com/en/4.4.0/reference/connectors/salesforce-connectors/sf-inbound-endpoint-example/", "Salesforce Inbound Endpoint Example")</f>
        <v>0</v>
      </c>
    </row>
    <row r="549" spans="1:1">
      <c r="A549">
        <f>HYPERLINK("https://mi.docs.wso2.com/en/4.4.0/reference/connectors/salesforce-connectors/sf-inbound-endpoint-reference-configuration/", "Salesforce Inbound Endpoint Reference")</f>
        <v>0</v>
      </c>
    </row>
    <row r="550" spans="1:1">
      <c r="A550">
        <f>HYPERLINK("https://mi.docs.wso2.com/en/4.4.0/reference/connectors/salesforcebulk-connector/salesforcebulk-connector-configuration/", "Salesforce Bulk Configuration")</f>
        <v>0</v>
      </c>
    </row>
    <row r="551" spans="1:1">
      <c r="A551">
        <f>HYPERLINK("https://mi.docs.wso2.com/en/4.4.0/reference/connectors/salesforcebulk-connector/salesforcebulk-connector-example/", "Salesforce Bulk API Example")</f>
        <v>0</v>
      </c>
    </row>
    <row r="552" spans="1:1">
      <c r="A552">
        <f>HYPERLINK("https://mi.docs.wso2.com/en/4.4.0/reference/connectors/salesforcebulk-connector/salesforcebulk-reference/", "Salesforce Bulk API Reference")</f>
        <v>0</v>
      </c>
    </row>
    <row r="553" spans="1:1">
      <c r="A553">
        <f>HYPERLINK("https://mi.docs.wso2.com/en/4.4.0/reference/connectors/salesforce-connectors/salesforcebulk-v2-connector-example/", "Salesforce Bulk API V2 Example")</f>
        <v>0</v>
      </c>
    </row>
    <row r="554" spans="1:1">
      <c r="A554">
        <f>HYPERLINK("https://mi.docs.wso2.com/en/4.4.0/reference/connectors/salesforce-connectors/salesforcebulk-v2-reference/", "Salesforce Bulk API V2 Reference")</f>
        <v>0</v>
      </c>
    </row>
    <row r="555" spans="1:1">
      <c r="A555">
        <f>HYPERLINK("https://mi.docs.wso2.com/en/4.4.0/reference/connectors/salesforce-connectors/sf-soap-connector-config/", "Salesforce SOAP Connector Configuration")</f>
        <v>0</v>
      </c>
    </row>
    <row r="556" spans="1:1">
      <c r="A556">
        <f>HYPERLINK("https://mi.docs.wso2.com/en/4.4.0/reference/connectors/salesforce-connectors/sf-soap-connector-example/", "Salesforce SOAP Connector Example")</f>
        <v>0</v>
      </c>
    </row>
    <row r="557" spans="1:1">
      <c r="A557">
        <f>HYPERLINK("https://mi.docs.wso2.com/en/4.4.0/reference/connectors/salesforce-soap-connector/salesforce-soap-reference/", "Salesforce SOAP Connector Reference")</f>
        <v>0</v>
      </c>
    </row>
    <row r="558" spans="1:1">
      <c r="A558">
        <f>HYPERLINK("https://mi.docs.wso2.com/en/4.4.0/reference/connectors/servicenow-connector/servicenow-overview/", "ServiceNow Overview")</f>
        <v>0</v>
      </c>
    </row>
    <row r="559" spans="1:1">
      <c r="A559">
        <f>HYPERLINK("https://mi.docs.wso2.com/en/4.4.0/reference/connectors/servicenow-connector/settingup-servicenow-instance/", "Set up Servicenow")</f>
        <v>0</v>
      </c>
    </row>
    <row r="560" spans="1:1">
      <c r="A560">
        <f>HYPERLINK("https://mi.docs.wso2.com/en/4.4.0/reference/connectors/servicenow-connector/servicenow-connector-example/", "ServiceNow Example")</f>
        <v>0</v>
      </c>
    </row>
    <row r="561" spans="1:1">
      <c r="A561">
        <f>HYPERLINK("https://mi.docs.wso2.com/en/4.4.0/reference/connectors/servicenow-connector/servicenow-connector-config/", "ServiceNow Reference")</f>
        <v>0</v>
      </c>
    </row>
    <row r="562" spans="1:1">
      <c r="A562">
        <f>HYPERLINK("https://mi.docs.wso2.com/en/4.4.0/reference/connectors/smpp-connector/smpp-connector-overview/", "SMPP Overview")</f>
        <v>0</v>
      </c>
    </row>
    <row r="563" spans="1:1">
      <c r="A563">
        <f>HYPERLINK("https://mi.docs.wso2.com/en/4.4.0/reference/connectors/smpp-connector/smpp-connector-configuration/", "Set up the SMPP Connector")</f>
        <v>0</v>
      </c>
    </row>
    <row r="564" spans="1:1">
      <c r="A564">
        <f>HYPERLINK("https://mi.docs.wso2.com/en/4.4.0/reference/connectors/smpp-connector/smpp-connector-example/", "SMPP Example")</f>
        <v>0</v>
      </c>
    </row>
    <row r="565" spans="1:1">
      <c r="A565">
        <f>HYPERLINK("https://mi.docs.wso2.com/en/4.4.0/reference/connectors/smpp-connector/smpp-connector-config/", "SMPP Reference")</f>
        <v>0</v>
      </c>
    </row>
    <row r="566" spans="1:1">
      <c r="A566">
        <f>HYPERLINK("https://mi.docs.wso2.com/en/4.4.0/reference/connectors/smpp-connector/smpp-inbound-endpoint-example/", "SMPP Inbound Endpoint Example")</f>
        <v>0</v>
      </c>
    </row>
    <row r="567" spans="1:1">
      <c r="A567">
        <f>HYPERLINK("https://mi.docs.wso2.com/en/4.4.0/reference/connectors/smpp-connector/smpp-inbound-endpoint-config/", "SMPP Inbound Endpoint Reference")</f>
        <v>0</v>
      </c>
    </row>
    <row r="568" spans="1:1">
      <c r="A568">
        <f>HYPERLINK("https://mi.docs.wso2.com/en/4.4.0/reference/connectors/twitter-connector/twitter-connector-overview/", "Twitter Overview")</f>
        <v>0</v>
      </c>
    </row>
    <row r="569" spans="1:1">
      <c r="A569">
        <f>HYPERLINK("https://mi.docs.wso2.com/en/4.4.0/reference/connectors/twitter-connector/twitter-connector-credentials/", "Generate Credentials")</f>
        <v>0</v>
      </c>
    </row>
    <row r="570" spans="1:1">
      <c r="A570">
        <f>HYPERLINK("https://mi.docs.wso2.com/en/4.4.0/reference/connectors/twitter-connector/twitter-connector-configuration/", "Set up Integration Runtime")</f>
        <v>0</v>
      </c>
    </row>
    <row r="571" spans="1:1">
      <c r="A571">
        <f>HYPERLINK("https://mi.docs.wso2.com/en/4.4.0/reference/connectors/twitter-connector/twitter-connector-example/", "Twitter Example")</f>
        <v>0</v>
      </c>
    </row>
    <row r="572" spans="1:1">
      <c r="A572">
        <f>HYPERLINK("https://mi.docs.wso2.com/en/4.4.0/reference/connectors/twitter-connector/twitter-connector-reference/", "Twitter Reference")</f>
        <v>0</v>
      </c>
    </row>
    <row r="573" spans="1:1">
      <c r="A573">
        <f>HYPERLINK("https://mi.docs.wso2.com/en/4.4.0/reference/connectors/snowflake-connector/snowflake-connector-overview/", "Snowflake Connector Overview")</f>
        <v>0</v>
      </c>
    </row>
    <row r="574" spans="1:1">
      <c r="A574">
        <f>HYPERLINK("https://mi.docs.wso2.com/en/4.4.0/reference/connectors/snowflake-connector/snowflake-connector-example/", "Snowflake Connector Example")</f>
        <v>0</v>
      </c>
    </row>
    <row r="575" spans="1:1">
      <c r="A575">
        <f>HYPERLINK("https://mi.docs.wso2.com/en/4.4.0/reference/connectors/snowflake-connector/snowflake-connector-reference/", "Snowflake Connector Reference")</f>
        <v>0</v>
      </c>
    </row>
    <row r="576" spans="1:1">
      <c r="A576">
        <f>HYPERLINK("https://mi.docs.wso2.com/en/4.4.0/reference/connectors/utility-module/utility-module-overview/", "Utility Module Overview")</f>
        <v>0</v>
      </c>
    </row>
    <row r="577" spans="1:1">
      <c r="A577">
        <f>HYPERLINK("https://mi.docs.wso2.com/en/4.4.0/reference/connectors/utility-module/utility-module-config/", "Utility Module Reference")</f>
        <v>0</v>
      </c>
    </row>
    <row r="578" spans="1:1">
      <c r="A578">
        <f>HYPERLINK("https://mi.docs.wso2.com/en/4.4.0/reference/mediators/about-mediators/", "About Mediators")</f>
        <v>0</v>
      </c>
    </row>
    <row r="579" spans="1:1">
      <c r="A579">
        <f>HYPERLINK("https://mi.docs.wso2.com/en/4.4.0/reference/mediators/aggregate-mediator/", "Aggregate Mediator")</f>
        <v>0</v>
      </c>
    </row>
    <row r="580" spans="1:1">
      <c r="A580">
        <f>HYPERLINK("https://mi.docs.wso2.com/en/4.4.0/reference/mediators/builder-mediator/", "Builder Mediator")</f>
        <v>0</v>
      </c>
    </row>
    <row r="581" spans="1:1">
      <c r="A581">
        <f>HYPERLINK("https://mi.docs.wso2.com/en/4.4.0/reference/mediators/cache-mediator/", "Cache Mediator")</f>
        <v>0</v>
      </c>
    </row>
    <row r="582" spans="1:1">
      <c r="A582">
        <f>HYPERLINK("https://mi.docs.wso2.com/en/4.4.0/reference/mediators/call-mediator/", "Call Mediator")</f>
        <v>0</v>
      </c>
    </row>
    <row r="583" spans="1:1">
      <c r="A583">
        <f>HYPERLINK("https://mi.docs.wso2.com/en/4.4.0/reference/mediators/call-template-mediator/", "Call Template Mediator")</f>
        <v>0</v>
      </c>
    </row>
    <row r="584" spans="1:1">
      <c r="A584">
        <f>HYPERLINK("https://mi.docs.wso2.com/en/4.4.0/reference/mediators/callout-mediator/", "Callout Mediator")</f>
        <v>0</v>
      </c>
    </row>
    <row r="585" spans="1:1">
      <c r="A585">
        <f>HYPERLINK("https://mi.docs.wso2.com/en/4.4.0/reference/mediators/class-mediator/", "Class Mediator")</f>
        <v>0</v>
      </c>
    </row>
    <row r="586" spans="1:1">
      <c r="A586">
        <f>HYPERLINK("https://mi.docs.wso2.com/en/4.4.0/reference/mediators/clone-mediator/", "Clone Mediator")</f>
        <v>0</v>
      </c>
    </row>
    <row r="587" spans="1:1">
      <c r="A587">
        <f>HYPERLINK("https://mi.docs.wso2.com/en/4.4.0/reference/mediators/data-mapper-mediator/", "Data Mapper Mediator")</f>
        <v>0</v>
      </c>
    </row>
    <row r="588" spans="1:1">
      <c r="A588">
        <f>HYPERLINK("https://mi.docs.wso2.com/en/4.4.0/reference/mediators/dss-mediator/", "Data Service Call Mediator")</f>
        <v>0</v>
      </c>
    </row>
    <row r="589" spans="1:1">
      <c r="A589">
        <f>HYPERLINK("https://mi.docs.wso2.com/en/4.4.0/reference/mediators/dblookup-mediator/", "DBLookup  Mediator")</f>
        <v>0</v>
      </c>
    </row>
    <row r="590" spans="1:1">
      <c r="A590">
        <f>HYPERLINK("https://mi.docs.wso2.com/en/4.4.0/reference/mediators/db-report-mediator/", "DB Report Mediator")</f>
        <v>0</v>
      </c>
    </row>
    <row r="591" spans="1:1">
      <c r="A591">
        <f>HYPERLINK("https://mi.docs.wso2.com/en/4.4.0/reference/mediators/drop-mediator/", "Drop Mediator")</f>
        <v>0</v>
      </c>
    </row>
    <row r="592" spans="1:1">
      <c r="A592">
        <f>HYPERLINK("https://mi.docs.wso2.com/en/4.4.0/reference/mediators/ejb-mediator/", "EJB Mediator")</f>
        <v>0</v>
      </c>
    </row>
    <row r="593" spans="1:1">
      <c r="A593">
        <f>HYPERLINK("https://mi.docs.wso2.com/en/4.4.0/reference/mediators/enrich-mediator/", "Enrich Mediator")</f>
        <v>0</v>
      </c>
    </row>
    <row r="594" spans="1:1">
      <c r="A594">
        <f>HYPERLINK("https://mi.docs.wso2.com/en/4.4.0/reference/mediators/entitlement-mediator/", "Entitlement Mediator")</f>
        <v>0</v>
      </c>
    </row>
    <row r="595" spans="1:1">
      <c r="A595">
        <f>HYPERLINK("https://mi.docs.wso2.com/en/4.4.0/reference/mediators/fastxslt-mediator/", "FastXSLT Mediator")</f>
        <v>0</v>
      </c>
    </row>
    <row r="596" spans="1:1">
      <c r="A596">
        <f>HYPERLINK("https://mi.docs.wso2.com/en/4.4.0/reference/mediators/fault-mediator/", "Fault Mediator")</f>
        <v>0</v>
      </c>
    </row>
    <row r="597" spans="1:1">
      <c r="A597">
        <f>HYPERLINK("https://mi.docs.wso2.com/en/4.4.0/reference/mediators/filter-mediator/", "Filter Mediator")</f>
        <v>0</v>
      </c>
    </row>
    <row r="598" spans="1:1">
      <c r="A598">
        <f>HYPERLINK("https://mi.docs.wso2.com/en/4.4.0/reference/mediators/foreach-mediator/", "ForEach Mediator")</f>
        <v>0</v>
      </c>
    </row>
    <row r="599" spans="1:1">
      <c r="A599">
        <f>HYPERLINK("https://mi.docs.wso2.com/en/4.4.0/reference/mediators/header-mediator/", "Header Mediator")</f>
        <v>0</v>
      </c>
    </row>
    <row r="600" spans="1:1">
      <c r="A600">
        <f>HYPERLINK("https://mi.docs.wso2.com/en/4.4.0/reference/mediators/iterate-mediator/", "Iterate Mediator")</f>
        <v>0</v>
      </c>
    </row>
    <row r="601" spans="1:1">
      <c r="A601">
        <f>HYPERLINK("https://mi.docs.wso2.com/en/4.4.0/reference/mediators/json-transform-mediator/", "JSON Transform Mediator")</f>
        <v>0</v>
      </c>
    </row>
    <row r="602" spans="1:1">
      <c r="A602">
        <f>HYPERLINK("https://mi.docs.wso2.com/en/4.4.0/reference/mediators/log-mediator/", "Log Mediator")</f>
        <v>0</v>
      </c>
    </row>
    <row r="603" spans="1:1">
      <c r="A603">
        <f>HYPERLINK("https://mi.docs.wso2.com/en/4.4.0/reference/mediators/loopback-mediator/", "Loopback Mediator")</f>
        <v>0</v>
      </c>
    </row>
    <row r="604" spans="1:1">
      <c r="A604">
        <f>HYPERLINK("https://mi.docs.wso2.com/en/4.4.0/reference/mediators/ntlm-mediator/", "NTLM Mediator")</f>
        <v>0</v>
      </c>
    </row>
    <row r="605" spans="1:1">
      <c r="A605">
        <f>HYPERLINK("https://mi.docs.wso2.com/en/4.4.0/reference/mediators/oauth-mediator/", "OAuth Mediator")</f>
        <v>0</v>
      </c>
    </row>
    <row r="606" spans="1:1">
      <c r="A606">
        <f>HYPERLINK("https://mi.docs.wso2.com/en/4.4.0/reference/mediators/payloadfactory-mediator/", "PayloadFactory Mediator")</f>
        <v>0</v>
      </c>
    </row>
    <row r="607" spans="1:1">
      <c r="A607">
        <f>HYPERLINK("https://mi.docs.wso2.com/en/4.4.0/reference/mediators/property-mediator/", "Property Mediator")</f>
        <v>0</v>
      </c>
    </row>
    <row r="608" spans="1:1">
      <c r="A608">
        <f>HYPERLINK("https://mi.docs.wso2.com/en/4.4.0/reference/mediators/property-group-mediator/", "Property Group Mediator")</f>
        <v>0</v>
      </c>
    </row>
    <row r="609" spans="1:1">
      <c r="A609">
        <f>HYPERLINK("https://mi.docs.wso2.com/en/4.4.0/reference/mediators/respond-mediator/", "Respond Mediator")</f>
        <v>0</v>
      </c>
    </row>
    <row r="610" spans="1:1">
      <c r="A610">
        <f>HYPERLINK("https://mi.docs.wso2.com/en/4.4.0/reference/mediators/script-mediator/", "Script Mediator")</f>
        <v>0</v>
      </c>
    </row>
    <row r="611" spans="1:1">
      <c r="A611">
        <f>HYPERLINK("https://mi.docs.wso2.com/en/4.4.0/reference/mediators/send-mediator/", "Send Mediator")</f>
        <v>0</v>
      </c>
    </row>
    <row r="612" spans="1:1">
      <c r="A612">
        <f>HYPERLINK("https://mi.docs.wso2.com/en/4.4.0/reference/mediators/sequence-mediator/", "Sequence Mediator")</f>
        <v>0</v>
      </c>
    </row>
    <row r="613" spans="1:1">
      <c r="A613">
        <f>HYPERLINK("https://mi.docs.wso2.com/en/4.4.0/reference/mediators/smooks-mediator/", "Smooks Mediator")</f>
        <v>0</v>
      </c>
    </row>
    <row r="614" spans="1:1">
      <c r="A614">
        <f>HYPERLINK("https://mi.docs.wso2.com/en/4.4.0/reference/mediators/store-mediator/", "Store Mediator")</f>
        <v>0</v>
      </c>
    </row>
    <row r="615" spans="1:1">
      <c r="A615">
        <f>HYPERLINK("https://mi.docs.wso2.com/en/4.4.0/reference/mediators/switch-mediator/", "Switch Mediator")</f>
        <v>0</v>
      </c>
    </row>
    <row r="616" spans="1:1">
      <c r="A616">
        <f>HYPERLINK("https://mi.docs.wso2.com/en/4.4.0/reference/mediators/throttle-mediator/", "Throttle Mediator")</f>
        <v>0</v>
      </c>
    </row>
    <row r="617" spans="1:1">
      <c r="A617">
        <f>HYPERLINK("https://mi.docs.wso2.com/en/4.4.0/reference/mediators/transaction-mediator/", "Transaction Mediator")</f>
        <v>0</v>
      </c>
    </row>
    <row r="618" spans="1:1">
      <c r="A618">
        <f>HYPERLINK("https://mi.docs.wso2.com/en/4.4.0/reference/mediators/urlrewrite-mediator/", "URLRewrite Mediator")</f>
        <v>0</v>
      </c>
    </row>
    <row r="619" spans="1:1">
      <c r="A619">
        <f>HYPERLINK("https://mi.docs.wso2.com/en/4.4.0/reference/mediators/validate-mediator/", "Validate Mediator")</f>
        <v>0</v>
      </c>
    </row>
    <row r="620" spans="1:1">
      <c r="A620">
        <f>HYPERLINK("https://mi.docs.wso2.com/en/4.4.0/reference/mediators/xquery-mediator/", "XQuery Mediator")</f>
        <v>0</v>
      </c>
    </row>
    <row r="621" spans="1:1">
      <c r="A621">
        <f>HYPERLINK("https://mi.docs.wso2.com/en/4.4.0/reference/mediators/xslt-mediator/", "XSLT Mediator")</f>
        <v>0</v>
      </c>
    </row>
    <row r="622" spans="1:1">
      <c r="A622">
        <f>HYPERLINK("https://mi.docs.wso2.com/en/4.4.0/reference/mediators/property-reference/generic-properties/", "Generic Properties")</f>
        <v>0</v>
      </c>
    </row>
    <row r="623" spans="1:1">
      <c r="A623">
        <f>HYPERLINK("https://mi.docs.wso2.com/en/4.4.0/reference/mediators/property-reference/http-transport-properties/", "HTTP Transport Properties")</f>
        <v>0</v>
      </c>
    </row>
    <row r="624" spans="1:1">
      <c r="A624">
        <f>HYPERLINK("https://mi.docs.wso2.com/en/4.4.0/reference/mediators/property-reference/soap-headers/", "SOAP Headers")</f>
        <v>0</v>
      </c>
    </row>
    <row r="625" spans="1:1">
      <c r="A625">
        <f>HYPERLINK("https://mi.docs.wso2.com/en/4.4.0/reference/mediators/property-reference/axis2-properties/", "Axis2 Properties")</f>
        <v>0</v>
      </c>
    </row>
    <row r="626" spans="1:1">
      <c r="A626">
        <f>HYPERLINK("https://mi.docs.wso2.com/en/4.4.0/reference/mediators/property-reference/message-context-properties/", "Synapse Message Context Properties")</f>
        <v>0</v>
      </c>
    </row>
    <row r="627" spans="1:1">
      <c r="A627">
        <f>HYPERLINK("https://mi.docs.wso2.com/en/4.4.0/reference/synapse-properties/expressions/", "Expressions")</f>
        <v>0</v>
      </c>
    </row>
    <row r="628" spans="1:1">
      <c r="A628">
        <f>HYPERLINK("https://mi.docs.wso2.com/en/4.4.0/reference/synapse-properties/scopes/", "Scopes")</f>
        <v>0</v>
      </c>
    </row>
    <row r="629" spans="1:1">
      <c r="A629">
        <f>HYPERLINK("https://mi.docs.wso2.com/en/4.4.0/reference/synapse-properties/rest-api-properties/", "REST APIs")</f>
        <v>0</v>
      </c>
    </row>
    <row r="630" spans="1:1">
      <c r="A630">
        <f>HYPERLINK("https://mi.docs.wso2.com/en/4.4.0/reference/synapse-properties/proxy-service-properties/", "Proxy Service Properties")</f>
        <v>0</v>
      </c>
    </row>
    <row r="631" spans="1:1">
      <c r="A631">
        <f>HYPERLINK("https://mi.docs.wso2.com/en/4.4.0/reference/synapse-properties/inbound-endpoints/about-inbound-endpoints/", "About Inbound Endpoints")</f>
        <v>0</v>
      </c>
    </row>
    <row r="632" spans="1:1">
      <c r="A632">
        <f>HYPERLINK("https://mi.docs.wso2.com/en/4.4.0/reference/synapse-properties/inbound-endpoints/listening-inbound-endpoints/http-inbound-endpoint-properties/", "HTTP Inbound Endpoint")</f>
        <v>0</v>
      </c>
    </row>
    <row r="633" spans="1:1">
      <c r="A633">
        <f>HYPERLINK("https://mi.docs.wso2.com/en/4.4.0/reference/synapse-properties/inbound-endpoints/listening-inbound-endpoints/cxf-ws-rm-inbound-endpoint-properties/", "CXF WS RM Inbound Endpoint")</f>
        <v>0</v>
      </c>
    </row>
    <row r="634" spans="1:1">
      <c r="A634">
        <f>HYPERLINK("https://mi.docs.wso2.com/en/4.4.0/reference/synapse-properties/inbound-endpoints/listening-inbound-endpoints/hl7-inbound-endpoint-properties/", "HL7 Inbound Endpoint")</f>
        <v>0</v>
      </c>
    </row>
    <row r="635" spans="1:1">
      <c r="A635">
        <f>HYPERLINK("https://mi.docs.wso2.com/en/4.4.0/reference/synapse-properties/inbound-endpoints/listening-inbound-endpoints/websocket-inbound-endpoint-properties/", "Websocket Inbound Endpoint")</f>
        <v>0</v>
      </c>
    </row>
    <row r="636" spans="1:1">
      <c r="A636">
        <f>HYPERLINK("https://mi.docs.wso2.com/en/4.4.0/reference/synapse-properties/inbound-endpoints/polling-inbound-endpoints/file-inbound-endpoint-properties/", "File Inbound Endpoint")</f>
        <v>0</v>
      </c>
    </row>
    <row r="637" spans="1:1">
      <c r="A637">
        <f>HYPERLINK("https://mi.docs.wso2.com/en/4.4.0/reference/synapse-properties/inbound-endpoints/polling-inbound-endpoints/jms-inbound-endpoint-properties/", "JMS Inbound Endpoint")</f>
        <v>0</v>
      </c>
    </row>
    <row r="638" spans="1:1">
      <c r="A638">
        <f>HYPERLINK("https://mi.docs.wso2.com/en/4.4.0/reference/synapse-properties/inbound-endpoints/polling-inbound-endpoints/kafka-inbound-endpoint-properties/", "Kafka Inbound Endpoint")</f>
        <v>0</v>
      </c>
    </row>
    <row r="639" spans="1:1">
      <c r="A639">
        <f>HYPERLINK("https://mi.docs.wso2.com/en/4.4.0/reference/synapse-properties/inbound-endpoints/event-based-inbound-endpoints/rabbitmq-inbound-endpoint-properties/", "RabbitMQ Inbound Endpoint")</f>
        <v>0</v>
      </c>
    </row>
    <row r="640" spans="1:1">
      <c r="A640">
        <f>HYPERLINK("https://mi.docs.wso2.com/en/4.4.0/reference/synapse-properties/inbound-endpoints/event-based-inbound-endpoints/mqtt-inbound-endpoint-properties/", "MQTT Inbound Endpoint")</f>
        <v>0</v>
      </c>
    </row>
    <row r="641" spans="1:1">
      <c r="A641">
        <f>HYPERLINK("https://mi.docs.wso2.com/en/4.4.0/reference/synapse-properties/inbound-endpoints/custom-inbound-endpoint-properties/", "Custom Inbound Endpoint")</f>
        <v>0</v>
      </c>
    </row>
    <row r="642" spans="1:1">
      <c r="A642">
        <f>HYPERLINK("https://mi.docs.wso2.com/en/4.4.0/reference/synapse-properties/scheduled-task-properties/", "Scheduled Task Properties")</f>
        <v>0</v>
      </c>
    </row>
    <row r="643" spans="1:1">
      <c r="A643">
        <f>HYPERLINK("https://mi.docs.wso2.com/en/4.4.0/reference/mediation-sequences/", "Mediation Sequences")</f>
        <v>0</v>
      </c>
    </row>
    <row r="644" spans="1:1">
      <c r="A644">
        <f>HYPERLINK("https://mi.docs.wso2.com/en/4.4.0/reference/synapse-properties/about-message-stores-processors/", "About Message Stores and Processors")</f>
        <v>0</v>
      </c>
    </row>
    <row r="645" spans="1:1">
      <c r="A645">
        <f>HYPERLINK("https://mi.docs.wso2.com/en/4.4.0/reference/synapse-properties/message-stores/jms-msg-store-properties/", "JMS Message Store")</f>
        <v>0</v>
      </c>
    </row>
    <row r="646" spans="1:1">
      <c r="A646">
        <f>HYPERLINK("https://mi.docs.wso2.com/en/4.4.0/reference/synapse-properties/message-stores/jdbc-msg-store-properties/", "JDBC Message Store")</f>
        <v>0</v>
      </c>
    </row>
    <row r="647" spans="1:1">
      <c r="A647">
        <f>HYPERLINK("https://mi.docs.wso2.com/en/4.4.0/reference/synapse-properties/message-stores/rabbitmq-msg-store-properties/", "RabbitMQ Message Store")</f>
        <v>0</v>
      </c>
    </row>
    <row r="648" spans="1:1">
      <c r="A648">
        <f>HYPERLINK("https://mi.docs.wso2.com/en/4.4.0/reference/synapse-properties/message-stores/resequence-msg-store-properties/", "Resequence Message Store")</f>
        <v>0</v>
      </c>
    </row>
    <row r="649" spans="1:1">
      <c r="A649">
        <f>HYPERLINK("https://mi.docs.wso2.com/en/4.4.0/reference/synapse-properties/message-stores/wso2mb-msg-store-properties/", "WSO2 MB Message Store")</f>
        <v>0</v>
      </c>
    </row>
    <row r="650" spans="1:1">
      <c r="A650">
        <f>HYPERLINK("https://mi.docs.wso2.com/en/4.4.0/reference/synapse-properties/message-stores/in-memory-msg-store-properties/", "In Memory Message Store")</f>
        <v>0</v>
      </c>
    </row>
    <row r="651" spans="1:1">
      <c r="A651">
        <f>HYPERLINK("https://mi.docs.wso2.com/en/4.4.0/reference/synapse-properties/message-stores/custom-msg-store-properties/", "Custom Message Store")</f>
        <v>0</v>
      </c>
    </row>
    <row r="652" spans="1:1">
      <c r="A652">
        <f>HYPERLINK("https://mi.docs.wso2.com/en/4.4.0/reference/synapse-properties/message-processors/msg-sampling-processor-properties/", "Message Sampling Processor")</f>
        <v>0</v>
      </c>
    </row>
    <row r="653" spans="1:1">
      <c r="A653">
        <f>HYPERLINK("https://mi.docs.wso2.com/en/4.4.0/reference/synapse-properties/message-processors/msg-sched-forwarding-processor-properties/", "Scheduled Message Forwarding Processor")</f>
        <v>0</v>
      </c>
    </row>
    <row r="654" spans="1:1">
      <c r="A654">
        <f>HYPERLINK("https://mi.docs.wso2.com/en/4.4.0/reference/synapse-properties/message-processors/msg-sched-failover-forwarding-processor-properties/", "Scheduled Failover Message Forwarding Processor")</f>
        <v>0</v>
      </c>
    </row>
    <row r="655" spans="1:1">
      <c r="A655">
        <f>HYPERLINK("https://mi.docs.wso2.com/en/4.4.0/reference/synapse-properties/template-properties/", "Templates")</f>
        <v>0</v>
      </c>
    </row>
    <row r="656" spans="1:1">
      <c r="A656">
        <f>HYPERLINK("https://mi.docs.wso2.com/en/4.4.0/reference/synapse-properties/endpoint-properties/", "Endpoints")</f>
        <v>0</v>
      </c>
    </row>
    <row r="657" spans="1:1">
      <c r="A657">
        <f>HYPERLINK("https://mi.docs.wso2.com/en/4.4.0/reference/synapse-properties/data-services/", "About Data Services")</f>
        <v>0</v>
      </c>
    </row>
    <row r="658" spans="1:1">
      <c r="A658">
        <f>HYPERLINK("https://mi.docs.wso2.com/en/4.4.0/reference/synapse-properties/data-services/elements-of-a-data-service/", "Elements of a Data Service")</f>
        <v>0</v>
      </c>
    </row>
    <row r="659" spans="1:1">
      <c r="A659">
        <f>HYPERLINK("https://mi.docs.wso2.com/en/4.4.0/reference/synapse-properties/data-services/query-parameters/", "Query Parameters")</f>
        <v>0</v>
      </c>
    </row>
    <row r="660" spans="1:1">
      <c r="A660">
        <f>HYPERLINK("https://mi.docs.wso2.com/en/4.4.0/reference/synapse-properties/data-services/datasource-configuration-parameters/", "Datasource Parameters")</f>
        <v>0</v>
      </c>
    </row>
    <row r="661" spans="1:1">
      <c r="A661">
        <f>HYPERLINK("https://mi.docs.wso2.com/en/4.4.0/reference/synapse-properties/data-services/input-validators/", "Input Validators")</f>
        <v>0</v>
      </c>
    </row>
    <row r="662" spans="1:1">
      <c r="A662">
        <f>HYPERLINK("https://mi.docs.wso2.com/en/4.4.0/reference/synapse-properties/data-services/using-namespaces/", "Namespaces")</f>
        <v>0</v>
      </c>
    </row>
    <row r="663" spans="1:1">
      <c r="A663">
        <f>HYPERLINK("https://mi.docs.wso2.com/en/4.4.0/reference/synapse-properties/data-services/mapping-data-types/", "SQL/Data Types")</f>
        <v>0</v>
      </c>
    </row>
    <row r="664" spans="1:1">
      <c r="A664">
        <f>HYPERLINK("https://mi.docs.wso2.com/en/4.4.0/reference/synapse-properties/data-services/sample-queries/", "Sample Queries")</f>
        <v>0</v>
      </c>
    </row>
    <row r="665" spans="1:1">
      <c r="A665">
        <f>HYPERLINK("https://mi.docs.wso2.com/en/4.4.0/reference/synapse-properties/transport-parameters/vfs-transport-parameters/", "VFS Parameters")</f>
        <v>0</v>
      </c>
    </row>
    <row r="666" spans="1:1">
      <c r="A666">
        <f>HYPERLINK("https://mi.docs.wso2.com/en/4.4.0/reference/synapse-properties/transport-parameters/jms-transport-parameters/", "JMS Parameters")</f>
        <v>0</v>
      </c>
    </row>
    <row r="667" spans="1:1">
      <c r="A667">
        <f>HYPERLINK("https://mi.docs.wso2.com/en/4.4.0/reference/synapse-properties/transport-parameters/rabbitmq-transport-parameters/", "RabbitMQ Parameters")</f>
        <v>0</v>
      </c>
    </row>
    <row r="668" spans="1:1">
      <c r="A668">
        <f>HYPERLINK("https://mi.docs.wso2.com/en/4.4.0/reference/synapse-properties/transport-parameters/hl7-transport-parameters/", "HL7 Parameters")</f>
        <v>0</v>
      </c>
    </row>
    <row r="669" spans="1:1">
      <c r="A669">
        <f>HYPERLINK("https://mi.docs.wso2.com/en/4.4.0/reference/synapse-properties/transport-parameters/fix-transport-parameters/", "FIX Parameters")</f>
        <v>0</v>
      </c>
    </row>
    <row r="670" spans="1:1">
      <c r="A670">
        <f>HYPERLINK("https://mi.docs.wso2.com/en/4.4.0/reference/synapse-properties/transport-parameters/mailto-transport-parameters/", "MailTo Parameters")</f>
        <v>0</v>
      </c>
    </row>
    <row r="671" spans="1:1">
      <c r="A671">
        <f>HYPERLINK("https://mi.docs.wso2.com/en/4.4.0/reference/synapse-properties/transport-parameters/mqtt-transport-parameters/", "MQTT Parameters")</f>
        <v>0</v>
      </c>
    </row>
    <row r="672" spans="1:1">
      <c r="A672">
        <f>HYPERLINK("https://mi.docs.wso2.com/en/4.4.0/reference/mi-security-reference/customizing-secure-vault/", "Customize Secure Vault")</f>
        <v>0</v>
      </c>
    </row>
    <row r="673" spans="1:1">
      <c r="A673">
        <f>HYPERLINK("https://mi.docs.wso2.com/en/4.4.0/reference/mi-security-reference/using-keystores/", "Use Keystores")</f>
        <v>0</v>
      </c>
    </row>
    <row r="674" spans="1:1">
      <c r="A674">
        <f>HYPERLINK("https://mi.docs.wso2.com/en/4.4.0/reference/mi-security-reference/security-implementation/", "WS-Security Implementations")</f>
        <v>0</v>
      </c>
    </row>
    <row r="675" spans="1:1">
      <c r="A675">
        <f>HYPERLINK("https://mi.docs.wso2.com/en/4.4.0/reference/troubleshooting/error-handling-mi/", "Error Handling in Micro Integrator")</f>
        <v>0</v>
      </c>
    </row>
    <row r="676" spans="1:1">
      <c r="A676">
        <f>HYPERLINK("https://mi.docs.wso2.com/en/4.4.0/reference/troubleshooting/capturing-system-data-in-error-situations/", "Capturing System Data in Error Situations")</f>
        <v>0</v>
      </c>
    </row>
    <row r="677" spans="1:1">
      <c r="A677">
        <f>HYPERLINK("https://mi.docs.wso2.com/en/4.4.0/reference/troubleshooting/admin-troubleshooting-in-production-environments/", "Troubleshooting in Production Environments")</f>
        <v>0</v>
      </c>
    </row>
    <row r="678" spans="1:1">
      <c r="A678">
        <f>HYPERLINK("https://mi.docs.wso2.com/en/4.4.0/reference/troubleshooting/configuring-xslt-mediation-with-xalan/", "Configure XSLT Mediation with Xalan")</f>
        <v>0</v>
      </c>
    </row>
    <row r="679" spans="1:1">
      <c r="A679">
        <f>HYPERLINK("https://mi.docs.wso2.com/en/4.4.0/reference/troubleshooting/troubleshooting-jms/", "Troubleshooting JMS")</f>
        <v>0</v>
      </c>
    </row>
    <row r="680" spans="1:1">
      <c r="A680">
        <f>HYPERLINK("https://mi.docs.wso2.com/en/4.4.0/reference/troubleshooting/utilizing-runtime-diagnostic-tool/", "Utilizing Runtime Diagnostic Tool")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2025-01-03T07:59:22Z</dcterms:created>
  <dcterms:modified xsi:type="dcterms:W3CDTF">2025-01-03T07:59:22Z</dcterms:modified>
</cp:coreProperties>
</file>